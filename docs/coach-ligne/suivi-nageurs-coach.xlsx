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DASHBOARD" sheetId="2" state="visible" r:id="rId2"/>
    <sheet name="NAGEURS" sheetId="3" state="visible" r:id="rId3"/>
    <sheet name="OBJECTIFS" sheetId="4" state="visible" r:id="rId4"/>
    <sheet name="TESTS" sheetId="5" state="visible" r:id="rId5"/>
    <sheet name="SEANCES" sheetId="6" state="visible" r:id="rId6"/>
    <sheet name="CHARGE" sheetId="7" state="visible" r:id="rId7"/>
    <sheet name="EVOLUTION" sheetId="8" state="visible" r:id="rId8"/>
    <sheet name="EXPORT" sheetId="9" state="visible" r:id="rId9"/>
    <sheet name="LISTES" sheetId="10" state="hidden" r:id="rId10"/>
  </sheets>
  <definedNames>
    <definedName name="liste_niveau">LISTES!$A$3:$A$6</definedName>
    <definedName name="liste_statut_nageur">LISTES!$B$3:$B$6</definedName>
    <definedName name="liste_sexe">LISTES!$C$3:$C$4</definedName>
    <definedName name="liste_cadre">LISTES!$D$3:$D$4</definedName>
    <definedName name="liste_bassin">LISTES!$E$3:$E$4</definedName>
    <definedName name="liste_oui_non">LISTES!$F$3:$F$4</definedName>
    <definedName name="liste_discipline">LISTES!$G$3:$G$8</definedName>
    <definedName name="liste_nage">LISTES!$H$3:$H$7</definedName>
    <definedName name="liste_priorite">LISTES!$I$3:$I$4</definedName>
    <definedName name="liste_statut_objectif">LISTES!$J$3:$J$6</definedName>
    <definedName name="liste_protocole">LISTES!$K$3:$K$8</definedName>
    <definedName name="liste_depart">LISTES!$L$3:$L$5</definedName>
    <definedName name="liste_contexte">LISTES!$M$3:$M$5</definedName>
    <definedName name="liste_forme">LISTES!$N$3:$N$6</definedName>
    <definedName name="liste_bassin_lieu">LISTES!$O$3:$O$5</definedName>
    <definedName name="liste_theme_seance">LISTES!$P$3:$P$10</definedName>
    <definedName name="liste_faite_seance">LISTES!$Q$3:$Q$5</definedName>
    <definedName name="liste_type_semaine">LISTES!$R$3:$R$6</definedName>
    <definedName name="liste_qualite">LISTES!$S$3:$S$5</definedName>
    <definedName name="_xlnm._FilterDatabase" localSheetId="1" hidden="1">'DASHBOARD'!$A$2:$AC$24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i val="1"/>
      <color rgb="005B6B7C"/>
      <sz val="10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color rgb="000A162C"/>
      <sz val="11"/>
    </font>
    <font>
      <name val="Calibri"/>
      <b val="1"/>
      <color rgb="000A162C"/>
      <sz val="11"/>
    </font>
    <font>
      <name val="Calibri"/>
      <color rgb="000A162C"/>
      <sz val="10"/>
    </font>
  </fonts>
  <fills count="9">
    <fill>
      <patternFill/>
    </fill>
    <fill>
      <patternFill patternType="gray125"/>
    </fill>
    <fill>
      <patternFill patternType="solid">
        <fgColor rgb="000A162C"/>
      </patternFill>
    </fill>
    <fill>
      <patternFill patternType="solid">
        <fgColor rgb="00006BFD"/>
      </patternFill>
    </fill>
    <fill>
      <patternFill patternType="solid">
        <fgColor rgb="00F0F4F8"/>
      </patternFill>
    </fill>
    <fill>
      <patternFill patternType="solid">
        <fgColor rgb="00E8F1FF"/>
      </patternFill>
    </fill>
    <fill>
      <patternFill patternType="solid">
        <fgColor rgb="00FFF8E1"/>
      </patternFill>
    </fill>
    <fill>
      <patternFill patternType="solid">
        <fgColor rgb="00F4F7FB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left" vertical="top" wrapText="1"/>
    </xf>
    <xf numFmtId="0" fontId="2" fillId="2" borderId="0" pivotButton="0" quotePrefix="0" xfId="0"/>
    <xf numFmtId="0" fontId="6" fillId="5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166" fontId="7" fillId="7" borderId="1" applyAlignment="1" pivotButton="0" quotePrefix="0" xfId="0">
      <alignment horizontal="center" vertical="center"/>
    </xf>
    <xf numFmtId="167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2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166" fontId="7" fillId="8" borderId="1" applyAlignment="1" pivotButton="0" quotePrefix="0" xfId="0">
      <alignment horizontal="center" vertical="center"/>
    </xf>
    <xf numFmtId="167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7" fillId="7" borderId="1" pivotButton="0" quotePrefix="0" xfId="0"/>
    <xf numFmtId="165" fontId="0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2" fontId="5" fillId="6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Lea Martin — T100 crawl (exemple)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'EVOLUTION'!I2</f>
            </strRef>
          </tx>
          <spPr>
            <a:ln>
              <a:prstDash val="solid"/>
            </a:ln>
          </spPr>
          <cat>
            <numRef>
              <f>'EVOLUTION'!$H$3:$H$5</f>
            </numRef>
          </cat>
          <val>
            <numRef>
              <f>'EVOLUTION'!$I$3:$I$5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7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Coach</author>
  </authors>
  <commentList>
    <comment ref="R2" authorId="0" shapeId="0">
      <text>
        <t>Négatif = plus rapide qu’au test précédent.</t>
      </text>
    </comment>
    <comment ref="S2" authorId="0" shapeId="0">
      <text>
        <t>T100 vs 2×T50. &gt; 10 % : il casse sur 100.</t>
      </text>
    </comment>
    <comment ref="T2" authorId="0" shapeId="0">
      <text>
        <t>T400 vs 4×T100. &gt; 12 % : manque d’aérobie.</t>
      </text>
    </comment>
    <comment ref="U2" authorId="0" shapeId="0">
      <text>
        <t>CSS = (T400 − T200) / 2. Allure seuil / 100 m.</t>
      </text>
    </comment>
    <comment ref="V2" authorId="0" shapeId="0">
      <text>
        <t>Dernier T100 valide en secondes — pace100 MySWYM.</t>
      </text>
    </comment>
    <comment ref="X2" authorId="0" shapeId="0">
      <text>
        <t>Séances faites cette semaine / cible nageur.</t>
      </text>
    </comment>
    <comment ref="Z2" authorId="0" shapeId="0">
      <text>
        <t>Volumes S / S-1 / S-2 (mètres).</t>
      </text>
    </comment>
    <comment ref="AA2" authorId="0" shapeId="0">
      <text>
        <t>Voir CHARGE. due = alléger cette semaine.</t>
      </text>
    </comment>
    <comment ref="AB2" authorId="0" shapeId="0">
      <text>
        <t>tester_A = T50+T100 · tester_B = T200+T400.</t>
      </text>
    </comment>
  </commentList>
</comments>
</file>

<file path=xl/comments/comment2.xml><?xml version="1.0" encoding="utf-8"?>
<comments xmlns="http://schemas.openxmlformats.org/spreadsheetml/2006/main">
  <authors>
    <author>Coach</author>
  </authors>
  <commentList>
    <comment ref="A1" authorId="0" shapeId="0">
      <text>
        <t>N001, N002… Ne jamais changer un id déjà utilisé dans TESTS.</t>
      </text>
    </comment>
    <comment ref="J1" authorId="0" shapeId="0">
      <text>
        <t>Séances réellement tenables, pas le souhait.</t>
      </text>
    </comment>
    <comment ref="K1" authorId="0" shapeId="0">
      <text>
        <t>decouverte / regulier / sportif / performance — mêmes libellés que MySWYM.</t>
      </text>
    </comment>
  </commentList>
</comments>
</file>

<file path=xl/comments/comment3.xml><?xml version="1.0" encoding="utf-8"?>
<comments xmlns="http://schemas.openxmlformats.org/spreadsheetml/2006/main">
  <authors>
    <author>Coach</author>
  </authors>
  <commentList>
    <comment ref="I1" authorId="0" shapeId="0">
      <text>
        <t>1:12.00 ou 5:05.00 ou 32:00</t>
      </text>
    </comment>
    <comment ref="K1" authorId="0" shapeId="0">
      <text>
        <t>Un seul A en_cours par nageur — c’est lui que le dashboard affiche.</t>
      </text>
    </comment>
  </commentList>
</comments>
</file>

<file path=xl/comments/comment4.xml><?xml version="1.0" encoding="utf-8"?>
<comments xmlns="http://schemas.openxmlformats.org/spreadsheetml/2006/main">
  <authors>
    <author>Coach</author>
  </authors>
  <commentList>
    <comment ref="D1" authorId="0" shapeId="0">
      <text>
        <t>T50 T100 T200 T400 CSS course. Ne pas tout faire le même jour.</t>
      </text>
    </comment>
    <comment ref="I1" authorId="0" shapeId="0">
      <text>
        <t>Vide sauf protocole course (ex. 800) : la distance se déduit sinon.</t>
      </text>
    </comment>
    <comment ref="J1" authorId="0" shapeId="0">
      <text>
        <t>1:12.50 ou 34.8 — virgule OK.</t>
      </text>
    </comment>
    <comment ref="R1" authorId="0" shapeId="0">
      <text>
        <t>non = chrono douteux, gardé mais ignoré du dashboard.</t>
      </text>
    </comment>
  </commentList>
</comments>
</file>

<file path=xl/comments/comment5.xml><?xml version="1.0" encoding="utf-8"?>
<comments xmlns="http://schemas.openxmlformats.org/spreadsheetml/2006/main">
  <authors>
    <author>Coach</author>
  </authors>
  <commentList>
    <comment ref="G1" authorId="0" shapeId="0">
      <text>
        <t>À poser sur la 1re séance de la semaine. CHARGE reprend ce type.</t>
      </text>
    </comment>
    <comment ref="H1" authorId="0" shapeId="0">
      <text>
        <t>tenue = OK · limite = tout juste · casse = séance ratée / arrêt.</t>
      </text>
    </comment>
    <comment ref="K1" authorId="0" shapeId="0">
      <text>
        <t>Lundi ISO — formule, ne pas saisir.</t>
      </text>
    </comment>
  </commentList>
</comments>
</file>

<file path=xl/comments/comment6.xml><?xml version="1.0" encoding="utf-8"?>
<comments xmlns="http://schemas.openxmlformats.org/spreadsheetml/2006/main">
  <authors>
    <author>Coach</author>
  </authors>
  <commentList>
    <comment ref="F2" authorId="0" shapeId="0">
      <text>
        <t>vs semaine précédente. &gt; 10 % = trop vite.</t>
      </text>
    </comment>
    <comment ref="H2" authorId="0" shapeId="0">
      <text>
        <t>Semaines depuis la dernière semaine allégée.</t>
      </text>
    </comment>
    <comment ref="L2" authorId="0" shapeId="0">
      <text>
        <t>due / en_cours / volume_+10% / rpe_2sem / trop_casse / affutage</t>
      </text>
    </comment>
    <comment ref="M2" authorId="0" shapeId="0">
      <text>
        <t>tester_A / tester_B / pas_maintenant</t>
      </text>
    </comment>
  </commentList>
</comments>
</file>

<file path=xl/comments/comment7.xml><?xml version="1.0" encoding="utf-8"?>
<comments xmlns="http://schemas.openxmlformats.org/spreadsheetml/2006/main">
  <authors>
    <author>Coach</author>
  </authors>
  <commentList>
    <comment ref="M1" authorId="0" shapeId="0">
      <text>
        <t>Dernier T100 valide (secondes) = pace100 dans l’app.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Nageurs" displayName="tblNageurs" ref="A1:P23" headerRowCount="1">
  <autoFilter ref="A1:P23"/>
  <tableColumns count="16">
    <tableColumn id="1" name="id"/>
    <tableColumn id="2" name="prenom"/>
    <tableColumn id="3" name="nom"/>
    <tableColumn id="4" name="annee_nais"/>
    <tableColumn id="5" name="sexe"/>
    <tableColumn id="6" name="tel"/>
    <tableColumn id="7" name="mail"/>
    <tableColumn id="8" name="cadre"/>
    <tableColumn id="9" name="bassin"/>
    <tableColumn id="10" name="seances_sem"/>
    <tableColumn id="11" name="niveau"/>
    <tableColumn id="12" name="materiel"/>
    <tableColumn id="13" name="blessure"/>
    <tableColumn id="14" name="note_contrainte"/>
    <tableColumn id="15" name="statut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bjectifs" displayName="tblObjectifs" ref="A1:N23" headerRowCount="1">
  <autoFilter ref="A1:N23"/>
  <tableColumns count="14">
    <tableColumn id="1" name="id_objectif"/>
    <tableColumn id="2" name="id_nageur"/>
    <tableColumn id="3" name="discipline"/>
    <tableColumn id="4" name="nage"/>
    <tableColumn id="5" name="distance_m"/>
    <tableColumn id="6" name="date_objectif"/>
    <tableColumn id="7" name="lieu"/>
    <tableColumn id="8" name="bassin_lieu"/>
    <tableColumn id="9" name="temps_cible"/>
    <tableColumn id="10" name="temps_cible_sec"/>
    <tableColumn id="11" name="priorite"/>
    <tableColumn id="12" name="statut"/>
    <tableColumn id="13" name="notes"/>
    <tableColumn id="14" name="cle_dashboa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Tests" displayName="tblTests" ref="A1:S80" headerRowCount="1">
  <autoFilter ref="A1:S80"/>
  <tableColumns count="19">
    <tableColumn id="1" name="id_test"/>
    <tableColumn id="2" name="id_nageur"/>
    <tableColumn id="3" name="date"/>
    <tableColumn id="4" name="protocole"/>
    <tableColumn id="5" name="nage"/>
    <tableColumn id="6" name="bassin"/>
    <tableColumn id="7" name="depart"/>
    <tableColumn id="8" name="contexte"/>
    <tableColumn id="9" name="distance_saisie"/>
    <tableColumn id="10" name="temps"/>
    <tableColumn id="11" name="temps_sec"/>
    <tableColumn id="12" name="distance_m"/>
    <tableColumn id="13" name="allure_100_sec"/>
    <tableColumn id="14" name="split_50"/>
    <tableColumn id="15" name="split_100"/>
    <tableColumn id="16" name="rpe"/>
    <tableColumn id="17" name="forme"/>
    <tableColumn id="18" name="valide"/>
    <tableColumn id="1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eances" displayName="tblSeances" ref="A1:M200" headerRowCount="1">
  <autoFilter ref="A1:M200"/>
  <tableColumns count="13">
    <tableColumn id="1" name="id_nageur"/>
    <tableColumn id="2" name="date"/>
    <tableColumn id="3" name="theme"/>
    <tableColumn id="4" name="volume_m"/>
    <tableColumn id="5" name="rpe"/>
    <tableColumn id="6" name="faite"/>
    <tableColumn id="7" name="type_semaine"/>
    <tableColumn id="8" name="qualite"/>
    <tableColumn id="9" name="lien_test"/>
    <tableColumn id="10" name="notes"/>
    <tableColumn id="11" name="lundi"/>
    <tableColumn id="12" name="semaine_iso"/>
    <tableColumn id="13" name="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00006BFD"/>
    <outlinePr summaryBelow="1" summaryRight="1"/>
    <pageSetUpPr fitToPage="1"/>
  </sheetPr>
  <dimension ref="B2:E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42" customWidth="1" min="4" max="4"/>
    <col width="22" customWidth="1" min="5" max="5"/>
  </cols>
  <sheetData>
    <row r="2" ht="34" customHeight="1">
      <c r="B2" s="1" t="inlineStr">
        <is>
          <t>SUIVI NAGEURS — COACH DE LIGNE</t>
        </is>
      </c>
      <c r="C2" s="2" t="n"/>
      <c r="D2" s="2" t="n"/>
      <c r="E2" s="2" t="n"/>
    </row>
    <row r="3" ht="28" customHeight="1">
      <c r="B3" s="3" t="inlineStr">
        <is>
          <t>Excel 365 (Mac ou Windows). Jaune = tu saisis. Gris = formule, ne pas écraser. Léa / Thomas / Inès sont des EXEMPLES — remplace-les par tes nageurs.</t>
        </is>
      </c>
    </row>
    <row r="5">
      <c r="B5" s="4" t="inlineStr">
        <is>
          <t>1. Logique</t>
        </is>
      </c>
      <c r="C5" s="5" t="n"/>
      <c r="D5" s="5" t="n"/>
    </row>
    <row r="6" ht="24" customHeight="1">
      <c r="B6" s="6" t="inlineStr">
        <is>
          <t>1 ligne dans NAGEURS, 1 objectif A dans OBJECTIFS, 1 ligne par chrono dans TESTS (on n’écrase jamais un temps). Le DASHBOARD se calcule tout seul. EXPORT reprend les champs utiles pour MySWYM (T100, cible, date).</t>
        </is>
      </c>
    </row>
    <row r="7" ht="24" customHeight="1"/>
    <row r="9">
      <c r="B9" s="4" t="inlineStr">
        <is>
          <t>2. Batterie A — vitesse (toutes les 4–5 semaines)</t>
        </is>
      </c>
      <c r="C9" s="5" t="n"/>
      <c r="D9" s="5" t="n"/>
    </row>
    <row r="10" ht="24" customHeight="1">
      <c r="B10" s="6" t="inlineStr">
        <is>
          <t>Même échauffement à chaque fois (600–800 m). T50 à fond, récup 6–8 min, T100 à fond. Noter bassin (25/50), départ (plongé / poussée), nage. Pas de 400 le même jour.</t>
        </is>
      </c>
    </row>
    <row r="11" ht="24" customHeight="1"/>
    <row r="13">
      <c r="B13" s="4" t="inlineStr">
        <is>
          <t>3. Batterie B — aérobie (toutes les 6–8 semaines)</t>
        </is>
      </c>
      <c r="C13" s="5" t="n"/>
      <c r="D13" s="5" t="n"/>
    </row>
    <row r="14" ht="24" customHeight="1">
      <c r="B14" s="6" t="inlineStr">
        <is>
          <t>T200 quasi max régulier, récup 10–15 min, T400. CSS = (T400 − T200) / 2 (allure seuil aux 100 m). Utile 400 / triathlon / eau libre. MySWYM n’utilise que le T100 ; le 400 est pour toi.</t>
        </is>
      </c>
    </row>
    <row r="15" ht="24" customHeight="1"/>
    <row r="17">
      <c r="B17" s="4" t="inlineStr">
        <is>
          <t>4. Saisie des temps</t>
        </is>
      </c>
      <c r="C17" s="5" t="n"/>
      <c r="D17" s="5" t="n"/>
    </row>
    <row r="18" ht="24" customHeight="1">
      <c r="B18" s="6" t="inlineStr">
        <is>
          <t>1:12.50 ou 34.8 ou 0:34.80. Virgule française 1:12,50 acceptée. Splits 50 / 100 optionnels, précieux pour voir où ça casse.</t>
        </is>
      </c>
    </row>
    <row r="19" ht="24" customHeight="1"/>
    <row r="21">
      <c r="B21" s="4" t="inlineStr">
        <is>
          <t>5. Un seul objectif A</t>
        </is>
      </c>
      <c r="C21" s="5" t="n"/>
      <c r="D21" s="5" t="n"/>
    </row>
    <row r="22" ht="24" customHeight="1">
      <c r="B22" s="6" t="inlineStr">
        <is>
          <t>Priorité A + statut en_cours = ce que le dashboard affiche. Un B possible. À 8–10 semaines : spécifique. À moins de 3 semaines : plus de test à fond.</t>
        </is>
      </c>
    </row>
    <row r="23" ht="24" customHeight="1"/>
    <row r="25">
      <c r="B25" s="4" t="inlineStr">
        <is>
          <t>6. Lire le diagnostic</t>
        </is>
      </c>
      <c r="C25" s="5" t="n"/>
      <c r="D25" s="5" t="n"/>
    </row>
    <row r="26" ht="24" customHeight="1">
      <c r="B26" s="6" t="inlineStr">
        <is>
          <t>Drop 100 vs 2×50 &gt; 10 % → il casse (lactique / pacing / technique). Drop 400 vs 4×100 &gt; 12 % → manque d’aérobie. Homogène → allure spécifique vers la cible, pas un thème miracle.</t>
        </is>
      </c>
    </row>
    <row r="27" ht="24" customHeight="1"/>
    <row r="29">
      <c r="B29" s="4" t="inlineStr">
        <is>
          <t>7. Charge, deload, retest</t>
        </is>
      </c>
      <c r="C29" s="5" t="n"/>
      <c r="D29" s="5" t="n"/>
    </row>
    <row r="30" ht="24" customHeight="1">
      <c r="B30" s="6" t="inlineStr">
        <is>
          <t>1 ligne par séance dans SEANCES (1 à 5 / semaine). CHARGE agrège par semaine. Deload : 3 semaines de charge puis 1 allégée (−30 % vol, RPE ≤ 6). Retest A (T50+T100) après 4–5 sem, Batterie B après 6–8 sem — jamais pendant un deload ni &lt; 3 sem avant l’objectif.</t>
        </is>
      </c>
    </row>
    <row r="31" ht="24" customHeight="1"/>
    <row r="33">
      <c r="B33" s="7" t="inlineStr">
        <is>
          <t>Onglet</t>
        </is>
      </c>
      <c r="C33" s="7" t="inlineStr">
        <is>
          <t>Rôle</t>
        </is>
      </c>
    </row>
    <row r="34">
      <c r="B34" s="8" t="inlineStr">
        <is>
          <t>DASHBOARD</t>
        </is>
      </c>
      <c r="C34" s="9" t="inlineStr">
        <is>
          <t>Lecture dimanche : temps + deload + retest.</t>
        </is>
      </c>
    </row>
    <row r="35">
      <c r="B35" s="8" t="inlineStr">
        <is>
          <t>NAGEURS</t>
        </is>
      </c>
      <c r="C35" s="9" t="inlineStr">
        <is>
          <t>1 ligne = 1 personne. id stable (N001…).</t>
        </is>
      </c>
    </row>
    <row r="36">
      <c r="B36" s="8" t="inlineStr">
        <is>
          <t>OBJECTIFS</t>
        </is>
      </c>
      <c r="C36" s="9" t="inlineStr">
        <is>
          <t>1 ligne = 1 course / diplôme.</t>
        </is>
      </c>
    </row>
    <row r="37">
      <c r="B37" s="8" t="inlineStr">
        <is>
          <t>TESTS</t>
        </is>
      </c>
      <c r="C37" s="9" t="inlineStr">
        <is>
          <t>1 ligne = 1 chrono. Cœur du suivi.</t>
        </is>
      </c>
    </row>
    <row r="38">
      <c r="B38" s="8" t="inlineStr">
        <is>
          <t>SEANCES</t>
        </is>
      </c>
      <c r="C38" s="9" t="inlineStr">
        <is>
          <t>1 ligne = 1 séance (1 à 5 / semaine).</t>
        </is>
      </c>
    </row>
    <row r="39">
      <c r="B39" s="8" t="inlineStr">
        <is>
          <t>CHARGE</t>
        </is>
      </c>
      <c r="C39" s="9" t="inlineStr">
        <is>
          <t>1 ligne = 1 nageur × 1 semaine. Alertes auto.</t>
        </is>
      </c>
    </row>
    <row r="40">
      <c r="B40" s="8" t="inlineStr">
        <is>
          <t>EVOLUTION</t>
        </is>
      </c>
      <c r="C40" s="9" t="inlineStr">
        <is>
          <t>Courbe T100 d’exemple (Léa).</t>
        </is>
      </c>
    </row>
    <row r="41">
      <c r="B41" s="8" t="inlineStr">
        <is>
          <t>EXPORT</t>
        </is>
      </c>
      <c r="C41" s="9" t="inlineStr">
        <is>
          <t>Colonnes app — ne pas saisir.</t>
        </is>
      </c>
    </row>
    <row r="43">
      <c r="B43" s="10" t="inlineStr">
        <is>
          <t>Jaune = saisie</t>
        </is>
      </c>
      <c r="C43" s="11" t="inlineStr">
        <is>
          <t>Gris = formule</t>
        </is>
      </c>
    </row>
  </sheetData>
  <mergeCells count="25">
    <mergeCell ref="C34:D34"/>
    <mergeCell ref="B30:D31"/>
    <mergeCell ref="C33:D33"/>
    <mergeCell ref="B17:D17"/>
    <mergeCell ref="B13:D13"/>
    <mergeCell ref="B22:D23"/>
    <mergeCell ref="B29:D29"/>
    <mergeCell ref="C35:D35"/>
    <mergeCell ref="B26:D27"/>
    <mergeCell ref="C41:D41"/>
    <mergeCell ref="B9:D9"/>
    <mergeCell ref="B18:D19"/>
    <mergeCell ref="B3:E3"/>
    <mergeCell ref="C40:D40"/>
    <mergeCell ref="B5:D5"/>
    <mergeCell ref="B14:D15"/>
    <mergeCell ref="C36:D36"/>
    <mergeCell ref="B2:E2"/>
    <mergeCell ref="B25:D25"/>
    <mergeCell ref="C39:D39"/>
    <mergeCell ref="B10:D11"/>
    <mergeCell ref="B6:D7"/>
    <mergeCell ref="C38:D38"/>
    <mergeCell ref="C37:D37"/>
    <mergeCell ref="B21:D21"/>
  </mergeCells>
  <pageMargins left="0.5" right="0.5" top="0.5" bottom="0.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0A162C"/>
    <outlinePr summaryBelow="1" summaryRight="1"/>
    <pageSetUpPr fitToPage="1"/>
  </sheetPr>
  <dimension ref="A1:BF26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9" customWidth="1" min="9" max="9"/>
    <col width="12" customWidth="1" min="10" max="10"/>
    <col width="22" customWidth="1" min="11" max="11"/>
    <col width="10" customWidth="1" min="12" max="12"/>
    <col width="10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11" customWidth="1" min="19" max="19"/>
    <col width="12" customWidth="1" min="20" max="20"/>
    <col width="10" customWidth="1" min="21" max="21"/>
    <col width="10" customWidth="1" min="22" max="22"/>
    <col width="36" customWidth="1" min="23" max="23"/>
    <col width="11" customWidth="1" min="24" max="24"/>
    <col width="10" customWidth="1" min="25" max="25"/>
    <col width="18" customWidth="1" min="26" max="26"/>
    <col width="14" customWidth="1" min="27" max="27"/>
    <col width="16" customWidth="1" min="28" max="28"/>
    <col width="42" customWidth="1" min="29" max="29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</cols>
  <sheetData>
    <row r="1" ht="28" customHeight="1">
      <c r="A1" s="1" t="inlineStr">
        <is>
          <t>TABLEAU DE BORD — tests · charge · deload · retest · ne rien saisir ici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34" customHeight="1">
      <c r="A2" s="12" t="inlineStr">
        <is>
          <t>id</t>
        </is>
      </c>
      <c r="B2" s="12" t="inlineStr">
        <is>
          <t>prenom</t>
        </is>
      </c>
      <c r="C2" s="12" t="inlineStr">
        <is>
          <t>nom</t>
        </is>
      </c>
      <c r="D2" s="12" t="inlineStr">
        <is>
          <t>niveau</t>
        </is>
      </c>
      <c r="E2" s="12" t="inlineStr">
        <is>
          <t>statut</t>
        </is>
      </c>
      <c r="F2" s="12" t="inlineStr">
        <is>
          <t>nage_suivi</t>
        </is>
      </c>
      <c r="G2" s="12" t="inlineStr">
        <is>
          <t>discipline</t>
        </is>
      </c>
      <c r="H2" s="12" t="inlineStr">
        <is>
          <t>nage_obj</t>
        </is>
      </c>
      <c r="I2" s="12" t="inlineStr">
        <is>
          <t>dist_m</t>
        </is>
      </c>
      <c r="J2" s="12" t="inlineStr">
        <is>
          <t>date_obj</t>
        </is>
      </c>
      <c r="K2" s="12" t="inlineStr">
        <is>
          <t>lieu</t>
        </is>
      </c>
      <c r="L2" s="12" t="inlineStr">
        <is>
          <t>cible</t>
        </is>
      </c>
      <c r="M2" s="12" t="inlineStr">
        <is>
          <t>semaines</t>
        </is>
      </c>
      <c r="N2" s="12" t="inlineStr">
        <is>
          <t>T50</t>
        </is>
      </c>
      <c r="O2" s="12" t="inlineStr">
        <is>
          <t>T100</t>
        </is>
      </c>
      <c r="P2" s="12" t="inlineStr">
        <is>
          <t>T200</t>
        </is>
      </c>
      <c r="Q2" s="12" t="inlineStr">
        <is>
          <t>T400</t>
        </is>
      </c>
      <c r="R2" s="12" t="inlineStr">
        <is>
          <t>delta_T100</t>
        </is>
      </c>
      <c r="S2" s="12" t="inlineStr">
        <is>
          <t>drop_100/50</t>
        </is>
      </c>
      <c r="T2" s="12" t="inlineStr">
        <is>
          <t>drop_400/100</t>
        </is>
      </c>
      <c r="U2" s="12" t="inlineStr">
        <is>
          <t>CSS_/100</t>
        </is>
      </c>
      <c r="V2" s="12" t="inlineStr">
        <is>
          <t>T100_sec</t>
        </is>
      </c>
      <c r="W2" s="12" t="inlineStr">
        <is>
          <t>diagnostic</t>
        </is>
      </c>
      <c r="X2" s="12" t="inlineStr">
        <is>
          <t>seances_S</t>
        </is>
      </c>
      <c r="Y2" s="12" t="inlineStr">
        <is>
          <t>vol_S</t>
        </is>
      </c>
      <c r="Z2" s="12" t="inlineStr">
        <is>
          <t>vol_S/S-1/S-2</t>
        </is>
      </c>
      <c r="AA2" s="12" t="inlineStr">
        <is>
          <t>deload</t>
        </is>
      </c>
      <c r="AB2" s="12" t="inlineStr">
        <is>
          <t>retest</t>
        </is>
      </c>
      <c r="AC2" s="12" t="inlineStr">
        <is>
          <t>consigne_charge</t>
        </is>
      </c>
    </row>
    <row r="3" ht="36" customHeight="1">
      <c r="A3" s="13">
        <f>IFERROR(IF(INDEX(tblNageurs[id],1)="","",INDEX(tblNageurs[id],1)),"")</f>
        <v/>
      </c>
      <c r="B3" s="13">
        <f>IF($A3="","",IFERROR(INDEX(tblNageurs[prenom],1),""))</f>
        <v/>
      </c>
      <c r="C3" s="13">
        <f>IF($A3="","",IFERROR(INDEX(tblNageurs[nom],1),""))</f>
        <v/>
      </c>
      <c r="D3" s="13">
        <f>IF($A3="","",IFERROR(INDEX(tblNageurs[niveau],1),""))</f>
        <v/>
      </c>
      <c r="E3" s="13">
        <f>IF($A3="","",IFERROR(INDEX(tblNageurs[statut],1),""))</f>
        <v/>
      </c>
      <c r="F3" s="13">
        <f>IF($A3="","",IF(OR($H3="dos",$H3="brasse",$H3="papillon"),$H3,"crawl"))</f>
        <v/>
      </c>
      <c r="G3" s="13">
        <f>IF($A3="","",IFERROR(XLOOKUP($A3,tblObjectifs[cle_dashboard],tblObjectifs[discipline],""),""))</f>
        <v/>
      </c>
      <c r="H3" s="13">
        <f>IF($A3="","",IFERROR(XLOOKUP($A3,tblObjectifs[cle_dashboard],tblObjectifs[nage],""),""))</f>
        <v/>
      </c>
      <c r="I3" s="13">
        <f>IF($A3="","",IFERROR(XLOOKUP($A3,tblObjectifs[cle_dashboard],tblObjectifs[distance_m],""),""))</f>
        <v/>
      </c>
      <c r="J3" s="14">
        <f>IF($A3="","",IFERROR(XLOOKUP($A3,tblObjectifs[cle_dashboard],tblObjectifs[date_objectif],""),""))</f>
        <v/>
      </c>
      <c r="K3" s="15">
        <f>IF($A3="","",IFERROR(XLOOKUP($A3,tblObjectifs[cle_dashboard],tblObjectifs[lieu],""),""))</f>
        <v/>
      </c>
      <c r="L3" s="13">
        <f>IF($A3="","",IFERROR(XLOOKUP($A3,tblObjectifs[cle_dashboard],tblObjectifs[temps_cible],""),""))</f>
        <v/>
      </c>
      <c r="M3" s="16">
        <f>IF(OR($A3="",$J3=""),"",($J3-TODAY())/7)</f>
        <v/>
      </c>
      <c r="N3" s="13">
        <f>IF(BA3="","",INT(BA3/60)&amp;":"&amp;TEXT(MOD(BA3,60),"00.00"))</f>
        <v/>
      </c>
      <c r="O3" s="13">
        <f>IF(BB3="","",INT(BB3/60)&amp;":"&amp;TEXT(MOD(BB3,60),"00.00"))</f>
        <v/>
      </c>
      <c r="P3" s="13">
        <f>IF(BC3="","",INT(BC3/60)&amp;":"&amp;TEXT(MOD(BC3,60),"00.00"))</f>
        <v/>
      </c>
      <c r="Q3" s="13">
        <f>IF(BD3="","",INT(BD3/60)&amp;":"&amp;TEXT(MOD(BD3,60),"00.00"))</f>
        <v/>
      </c>
      <c r="R3" s="17">
        <f>IF(OR(BB3="",BE3=""),"",(BB3-BE3)/BE3)</f>
        <v/>
      </c>
      <c r="S3" s="17">
        <f>IF(OR(BA3="",BB3=""),"",BB3/(2*BA3)-1)</f>
        <v/>
      </c>
      <c r="T3" s="17">
        <f>IF(OR(BB3="",BD3=""),"",BD3/(4*BB3)-1)</f>
        <v/>
      </c>
      <c r="U3" s="13">
        <f>IF(OR(BC3="",BD3=""),"",INT(((BD3-BC3)/2)/60)&amp;":"&amp;TEXT(MOD((BD3-BC3)/2,60),"00.00"))</f>
        <v/>
      </c>
      <c r="V3" s="16">
        <f>IF(BB3="","",ROUND(BB3,1))</f>
        <v/>
      </c>
      <c r="W3" s="15">
        <f>IF($A3="","",IFS(BB3="","Pas de T100 valide — Batterie A (T50 + T100).",AND(M3&lt;&gt;"",M3&lt;=3),"Affutage (&lt; 3 sem) — plus de test a fond. Allure de course.",AND(S3&lt;&gt;"",S3&gt;0.1),"Vitesse OK, il casse sur 100 (lactique / pacing / technique).",AND(T3&lt;&gt;"",T3&gt;0.12),"Manque aerobie / seuil — Batterie B (T200+T400) et series CSS.",AND(T3&lt;&gt;"",T3&lt;0.06,S3&lt;&gt;"",S3&lt;0.08),"Profil homogene — specificite d'allure vers la cible.",BA3="","Ajouter un T50 a la prochaine Batterie A.",TRUE,"Profil coherent. Voir consigne_charge pour deload / retest."))</f>
        <v/>
      </c>
      <c r="X3" s="13">
        <f>IF($A3="","",COUNTIFS(tblSeances[id_nageur],$A3,tblSeances[lundi],(TODAY()-WEEKDAY(TODAY(),3)),tblSeances[faite],"oui")&amp;"/"&amp;IFERROR(INDEX(tblNageurs[seances_sem],MATCH($A3,tblNageurs[id],0)),""))</f>
        <v/>
      </c>
      <c r="Y3" s="18">
        <f>IF($A3="","",SUMIFS(tblSeances[volume_m],tblSeances[id_nageur],$A3,tblSeances[lundi],(TODAY()-WEEKDAY(TODAY(),3)),tblSeances[faite],"oui"))</f>
        <v/>
      </c>
      <c r="Z3" s="13">
        <f>IF($A3="","",TEXT(SUMIFS(tblSeances[volume_m],tblSeances[id_nageur],$A3,tblSeances[lundi],(TODAY()-WEEKDAY(TODAY(),3)),tblSeances[faite],"oui"),"0")&amp;" / "&amp;TEXT(SUMIFS(tblSeances[volume_m],tblSeances[id_nageur],$A3,tblSeances[lundi],(TODAY()-WEEKDAY(TODAY(),3))-7,tblSeances[faite],"oui"),"0")&amp;" / "&amp;TEXT(SUMIFS(tblSeances[volume_m],tblSeances[id_nageur],$A3,tblSeances[lundi],(TODAY()-WEEKDAY(TODAY(),3))-14,tblSeances[faite],"oui"),"0"))</f>
        <v/>
      </c>
      <c r="AA3" s="13">
        <f>IF($A3="","",IFERROR(INDEX(FILTER(CHARGE!L$3:L$82,(CHARGE!A$3:A$82=$A3)*(CHARGE!B$3:B$82=(TODAY()-WEEKDAY(TODAY(),3)))),1),""))</f>
        <v/>
      </c>
      <c r="AB3" s="13">
        <f>IF($A3="","",IFERROR(INDEX(FILTER(CHARGE!M$3:M$82,(CHARGE!A$3:A$82=$A3)*(CHARGE!B$3:B$82=(TODAY()-WEEKDAY(TODAY(),3)))),1),""))</f>
        <v/>
      </c>
      <c r="AC3" s="15">
        <f>IF($A3="","",IFERROR(INDEX(FILTER(CHARGE!N$3:N$82,(CHARGE!A$3:A$82=$A3)*(CHARGE!B$3:B$82=(TODAY()-WEEKDAY(TODAY(),3)))),1),""))</f>
        <v/>
      </c>
      <c r="BA3" s="19">
        <f>IF($A3="","",IFERROR(INDEX(FILTER(tblTests[temps_sec],(tblTests[id_nageur]=$A3)*(tblTests[protocole]="T50")*(tblTests[nage]=$F3)*(tblTests[valide]="oui")*(tblTests[date]=MAXIFS(tblTests[date],tblTests[id_nageur],$A3,tblTests[protocole],"T50",tblTests[nage],$F3,tblTests[valide],"oui"))),1),""))</f>
        <v/>
      </c>
      <c r="BB3" s="19">
        <f>IF($A3="","",IFERROR(INDEX(FILTER(tblTests[temps_sec],(tblTests[id_nageur]=$A3)*(tblTests[protocole]="T100")*(tblTests[nage]=$F3)*(tblTests[valide]="oui")*(tblTests[date]=MAXIFS(tblTests[date],tblTests[id_nageur],$A3,tblTests[protocole],"T100",tblTests[nage],$F3,tblTests[valide],"oui"))),1),""))</f>
        <v/>
      </c>
      <c r="BC3" s="19">
        <f>IF($A3="","",IFERROR(INDEX(FILTER(tblTests[temps_sec],(tblTests[id_nageur]=$A3)*(tblTests[protocole]="T200")*(tblTests[nage]=$F3)*(tblTests[valide]="oui")*(tblTests[date]=MAXIFS(tblTests[date],tblTests[id_nageur],$A3,tblTests[protocole],"T200",tblTests[nage],$F3,tblTests[valide],"oui"))),1),""))</f>
        <v/>
      </c>
      <c r="BD3" s="19">
        <f>IF($A3="","",IFERROR(INDEX(FILTER(tblTests[temps_sec],(tblTests[id_nageur]=$A3)*(tblTests[protocole]="T400")*(tblTests[nage]=$F3)*(tblTests[valide]="oui")*(tblTests[date]=MAXIFS(tblTests[date],tblTests[id_nageur],$A3,tblTests[protocole],"T400",tblTests[nage],$F3,tblTests[valide],"oui"))),1),""))</f>
        <v/>
      </c>
      <c r="BE3" s="19">
        <f>IF($A3="","",IFERROR(INDEX(FILTER(tblTests[temps_sec],(tblTests[id_nageur]=$A3)*(tblTests[protocole]="T100")*(tblTests[nage]=$F3)*(tblTests[valide]="oui")*(tblTests[date]=IFERROR(LARGE(FILTER(tblTests[date],(tblTests[id_nageur]=$A3)*(tblTests[protocole]="T100")*(tblTests[nage]=$F3)*(tblTests[valide]="oui")),2),0))),1),""))</f>
        <v/>
      </c>
      <c r="BF3" s="14">
        <f>IF($A3="","",IFERROR(MAXIFS(tblTests[date],tblTests[id_nageur],$A3,tblTests[protocole],"T100",tblTests[nage],$F3,tblTests[valide],"oui"),""))</f>
        <v/>
      </c>
    </row>
    <row r="4" ht="36" customHeight="1">
      <c r="A4" s="20">
        <f>IFERROR(IF(INDEX(tblNageurs[id],2)="","",INDEX(tblNageurs[id],2)),"")</f>
        <v/>
      </c>
      <c r="B4" s="20">
        <f>IF($A4="","",IFERROR(INDEX(tblNageurs[prenom],2),""))</f>
        <v/>
      </c>
      <c r="C4" s="20">
        <f>IF($A4="","",IFERROR(INDEX(tblNageurs[nom],2),""))</f>
        <v/>
      </c>
      <c r="D4" s="20">
        <f>IF($A4="","",IFERROR(INDEX(tblNageurs[niveau],2),""))</f>
        <v/>
      </c>
      <c r="E4" s="20">
        <f>IF($A4="","",IFERROR(INDEX(tblNageurs[statut],2),""))</f>
        <v/>
      </c>
      <c r="F4" s="20">
        <f>IF($A4="","",IF(OR($H4="dos",$H4="brasse",$H4="papillon"),$H4,"crawl"))</f>
        <v/>
      </c>
      <c r="G4" s="20">
        <f>IF($A4="","",IFERROR(XLOOKUP($A4,tblObjectifs[cle_dashboard],tblObjectifs[discipline],""),""))</f>
        <v/>
      </c>
      <c r="H4" s="20">
        <f>IF($A4="","",IFERROR(XLOOKUP($A4,tblObjectifs[cle_dashboard],tblObjectifs[nage],""),""))</f>
        <v/>
      </c>
      <c r="I4" s="20">
        <f>IF($A4="","",IFERROR(XLOOKUP($A4,tblObjectifs[cle_dashboard],tblObjectifs[distance_m],""),""))</f>
        <v/>
      </c>
      <c r="J4" s="21">
        <f>IF($A4="","",IFERROR(XLOOKUP($A4,tblObjectifs[cle_dashboard],tblObjectifs[date_objectif],""),""))</f>
        <v/>
      </c>
      <c r="K4" s="22">
        <f>IF($A4="","",IFERROR(XLOOKUP($A4,tblObjectifs[cle_dashboard],tblObjectifs[lieu],""),""))</f>
        <v/>
      </c>
      <c r="L4" s="20">
        <f>IF($A4="","",IFERROR(XLOOKUP($A4,tblObjectifs[cle_dashboard],tblObjectifs[temps_cible],""),""))</f>
        <v/>
      </c>
      <c r="M4" s="23">
        <f>IF(OR($A4="",$J4=""),"",($J4-TODAY())/7)</f>
        <v/>
      </c>
      <c r="N4" s="20">
        <f>IF(BA4="","",INT(BA4/60)&amp;":"&amp;TEXT(MOD(BA4,60),"00.00"))</f>
        <v/>
      </c>
      <c r="O4" s="20">
        <f>IF(BB4="","",INT(BB4/60)&amp;":"&amp;TEXT(MOD(BB4,60),"00.00"))</f>
        <v/>
      </c>
      <c r="P4" s="20">
        <f>IF(BC4="","",INT(BC4/60)&amp;":"&amp;TEXT(MOD(BC4,60),"00.00"))</f>
        <v/>
      </c>
      <c r="Q4" s="20">
        <f>IF(BD4="","",INT(BD4/60)&amp;":"&amp;TEXT(MOD(BD4,60),"00.00"))</f>
        <v/>
      </c>
      <c r="R4" s="24">
        <f>IF(OR(BB4="",BE4=""),"",(BB4-BE4)/BE4)</f>
        <v/>
      </c>
      <c r="S4" s="24">
        <f>IF(OR(BA4="",BB4=""),"",BB4/(2*BA4)-1)</f>
        <v/>
      </c>
      <c r="T4" s="24">
        <f>IF(OR(BB4="",BD4=""),"",BD4/(4*BB4)-1)</f>
        <v/>
      </c>
      <c r="U4" s="20">
        <f>IF(OR(BC4="",BD4=""),"",INT(((BD4-BC4)/2)/60)&amp;":"&amp;TEXT(MOD((BD4-BC4)/2,60),"00.00"))</f>
        <v/>
      </c>
      <c r="V4" s="23">
        <f>IF(BB4="","",ROUND(BB4,1))</f>
        <v/>
      </c>
      <c r="W4" s="22">
        <f>IF($A4="","",IFS(BB4="","Pas de T100 valide — Batterie A (T50 + T100).",AND(M4&lt;&gt;"",M4&lt;=3),"Affutage (&lt; 3 sem) — plus de test a fond. Allure de course.",AND(S4&lt;&gt;"",S4&gt;0.1),"Vitesse OK, il casse sur 100 (lactique / pacing / technique).",AND(T4&lt;&gt;"",T4&gt;0.12),"Manque aerobie / seuil — Batterie B (T200+T400) et series CSS.",AND(T4&lt;&gt;"",T4&lt;0.06,S4&lt;&gt;"",S4&lt;0.08),"Profil homogene — specificite d'allure vers la cible.",BA4="","Ajouter un T50 a la prochaine Batterie A.",TRUE,"Profil coherent. Voir consigne_charge pour deload / retest."))</f>
        <v/>
      </c>
      <c r="X4" s="20">
        <f>IF($A4="","",COUNTIFS(tblSeances[id_nageur],$A4,tblSeances[lundi],(TODAY()-WEEKDAY(TODAY(),3)),tblSeances[faite],"oui")&amp;"/"&amp;IFERROR(INDEX(tblNageurs[seances_sem],MATCH($A4,tblNageurs[id],0)),""))</f>
        <v/>
      </c>
      <c r="Y4" s="25">
        <f>IF($A4="","",SUMIFS(tblSeances[volume_m],tblSeances[id_nageur],$A4,tblSeances[lundi],(TODAY()-WEEKDAY(TODAY(),3)),tblSeances[faite],"oui"))</f>
        <v/>
      </c>
      <c r="Z4" s="20">
        <f>IF($A4="","",TEXT(SUMIFS(tblSeances[volume_m],tblSeances[id_nageur],$A4,tblSeances[lundi],(TODAY()-WEEKDAY(TODAY(),3)),tblSeances[faite],"oui"),"0")&amp;" / "&amp;TEXT(SUMIFS(tblSeances[volume_m],tblSeances[id_nageur],$A4,tblSeances[lundi],(TODAY()-WEEKDAY(TODAY(),3))-7,tblSeances[faite],"oui"),"0")&amp;" / "&amp;TEXT(SUMIFS(tblSeances[volume_m],tblSeances[id_nageur],$A4,tblSeances[lundi],(TODAY()-WEEKDAY(TODAY(),3))-14,tblSeances[faite],"oui"),"0"))</f>
        <v/>
      </c>
      <c r="AA4" s="20">
        <f>IF($A4="","",IFERROR(INDEX(FILTER(CHARGE!L$3:L$82,(CHARGE!A$3:A$82=$A4)*(CHARGE!B$3:B$82=(TODAY()-WEEKDAY(TODAY(),3)))),1),""))</f>
        <v/>
      </c>
      <c r="AB4" s="20">
        <f>IF($A4="","",IFERROR(INDEX(FILTER(CHARGE!M$3:M$82,(CHARGE!A$3:A$82=$A4)*(CHARGE!B$3:B$82=(TODAY()-WEEKDAY(TODAY(),3)))),1),""))</f>
        <v/>
      </c>
      <c r="AC4" s="22">
        <f>IF($A4="","",IFERROR(INDEX(FILTER(CHARGE!N$3:N$82,(CHARGE!A$3:A$82=$A4)*(CHARGE!B$3:B$82=(TODAY()-WEEKDAY(TODAY(),3)))),1),""))</f>
        <v/>
      </c>
      <c r="BA4" s="19">
        <f>IF($A4="","",IFERROR(INDEX(FILTER(tblTests[temps_sec],(tblTests[id_nageur]=$A4)*(tblTests[protocole]="T50")*(tblTests[nage]=$F4)*(tblTests[valide]="oui")*(tblTests[date]=MAXIFS(tblTests[date],tblTests[id_nageur],$A4,tblTests[protocole],"T50",tblTests[nage],$F4,tblTests[valide],"oui"))),1),""))</f>
        <v/>
      </c>
      <c r="BB4" s="19">
        <f>IF($A4="","",IFERROR(INDEX(FILTER(tblTests[temps_sec],(tblTests[id_nageur]=$A4)*(tblTests[protocole]="T100")*(tblTests[nage]=$F4)*(tblTests[valide]="oui")*(tblTests[date]=MAXIFS(tblTests[date],tblTests[id_nageur],$A4,tblTests[protocole],"T100",tblTests[nage],$F4,tblTests[valide],"oui"))),1),""))</f>
        <v/>
      </c>
      <c r="BC4" s="19">
        <f>IF($A4="","",IFERROR(INDEX(FILTER(tblTests[temps_sec],(tblTests[id_nageur]=$A4)*(tblTests[protocole]="T200")*(tblTests[nage]=$F4)*(tblTests[valide]="oui")*(tblTests[date]=MAXIFS(tblTests[date],tblTests[id_nageur],$A4,tblTests[protocole],"T200",tblTests[nage],$F4,tblTests[valide],"oui"))),1),""))</f>
        <v/>
      </c>
      <c r="BD4" s="19">
        <f>IF($A4="","",IFERROR(INDEX(FILTER(tblTests[temps_sec],(tblTests[id_nageur]=$A4)*(tblTests[protocole]="T400")*(tblTests[nage]=$F4)*(tblTests[valide]="oui")*(tblTests[date]=MAXIFS(tblTests[date],tblTests[id_nageur],$A4,tblTests[protocole],"T400",tblTests[nage],$F4,tblTests[valide],"oui"))),1),""))</f>
        <v/>
      </c>
      <c r="BE4" s="19">
        <f>IF($A4="","",IFERROR(INDEX(FILTER(tblTests[temps_sec],(tblTests[id_nageur]=$A4)*(tblTests[protocole]="T100")*(tblTests[nage]=$F4)*(tblTests[valide]="oui")*(tblTests[date]=IFERROR(LARGE(FILTER(tblTests[date],(tblTests[id_nageur]=$A4)*(tblTests[protocole]="T100")*(tblTests[nage]=$F4)*(tblTests[valide]="oui")),2),0))),1),""))</f>
        <v/>
      </c>
      <c r="BF4" s="14">
        <f>IF($A4="","",IFERROR(MAXIFS(tblTests[date],tblTests[id_nageur],$A4,tblTests[protocole],"T100",tblTests[nage],$F4,tblTests[valide],"oui"),""))</f>
        <v/>
      </c>
    </row>
    <row r="5" ht="36" customHeight="1">
      <c r="A5" s="13">
        <f>IFERROR(IF(INDEX(tblNageurs[id],3)="","",INDEX(tblNageurs[id],3)),"")</f>
        <v/>
      </c>
      <c r="B5" s="13">
        <f>IF($A5="","",IFERROR(INDEX(tblNageurs[prenom],3),""))</f>
        <v/>
      </c>
      <c r="C5" s="13">
        <f>IF($A5="","",IFERROR(INDEX(tblNageurs[nom],3),""))</f>
        <v/>
      </c>
      <c r="D5" s="13">
        <f>IF($A5="","",IFERROR(INDEX(tblNageurs[niveau],3),""))</f>
        <v/>
      </c>
      <c r="E5" s="13">
        <f>IF($A5="","",IFERROR(INDEX(tblNageurs[statut],3),""))</f>
        <v/>
      </c>
      <c r="F5" s="13">
        <f>IF($A5="","",IF(OR($H5="dos",$H5="brasse",$H5="papillon"),$H5,"crawl"))</f>
        <v/>
      </c>
      <c r="G5" s="13">
        <f>IF($A5="","",IFERROR(XLOOKUP($A5,tblObjectifs[cle_dashboard],tblObjectifs[discipline],""),""))</f>
        <v/>
      </c>
      <c r="H5" s="13">
        <f>IF($A5="","",IFERROR(XLOOKUP($A5,tblObjectifs[cle_dashboard],tblObjectifs[nage],""),""))</f>
        <v/>
      </c>
      <c r="I5" s="13">
        <f>IF($A5="","",IFERROR(XLOOKUP($A5,tblObjectifs[cle_dashboard],tblObjectifs[distance_m],""),""))</f>
        <v/>
      </c>
      <c r="J5" s="14">
        <f>IF($A5="","",IFERROR(XLOOKUP($A5,tblObjectifs[cle_dashboard],tblObjectifs[date_objectif],""),""))</f>
        <v/>
      </c>
      <c r="K5" s="15">
        <f>IF($A5="","",IFERROR(XLOOKUP($A5,tblObjectifs[cle_dashboard],tblObjectifs[lieu],""),""))</f>
        <v/>
      </c>
      <c r="L5" s="13">
        <f>IF($A5="","",IFERROR(XLOOKUP($A5,tblObjectifs[cle_dashboard],tblObjectifs[temps_cible],""),""))</f>
        <v/>
      </c>
      <c r="M5" s="16">
        <f>IF(OR($A5="",$J5=""),"",($J5-TODAY())/7)</f>
        <v/>
      </c>
      <c r="N5" s="13">
        <f>IF(BA5="","",INT(BA5/60)&amp;":"&amp;TEXT(MOD(BA5,60),"00.00"))</f>
        <v/>
      </c>
      <c r="O5" s="13">
        <f>IF(BB5="","",INT(BB5/60)&amp;":"&amp;TEXT(MOD(BB5,60),"00.00"))</f>
        <v/>
      </c>
      <c r="P5" s="13">
        <f>IF(BC5="","",INT(BC5/60)&amp;":"&amp;TEXT(MOD(BC5,60),"00.00"))</f>
        <v/>
      </c>
      <c r="Q5" s="13">
        <f>IF(BD5="","",INT(BD5/60)&amp;":"&amp;TEXT(MOD(BD5,60),"00.00"))</f>
        <v/>
      </c>
      <c r="R5" s="17">
        <f>IF(OR(BB5="",BE5=""),"",(BB5-BE5)/BE5)</f>
        <v/>
      </c>
      <c r="S5" s="17">
        <f>IF(OR(BA5="",BB5=""),"",BB5/(2*BA5)-1)</f>
        <v/>
      </c>
      <c r="T5" s="17">
        <f>IF(OR(BB5="",BD5=""),"",BD5/(4*BB5)-1)</f>
        <v/>
      </c>
      <c r="U5" s="13">
        <f>IF(OR(BC5="",BD5=""),"",INT(((BD5-BC5)/2)/60)&amp;":"&amp;TEXT(MOD((BD5-BC5)/2,60),"00.00"))</f>
        <v/>
      </c>
      <c r="V5" s="16">
        <f>IF(BB5="","",ROUND(BB5,1))</f>
        <v/>
      </c>
      <c r="W5" s="15">
        <f>IF($A5="","",IFS(BB5="","Pas de T100 valide — Batterie A (T50 + T100).",AND(M5&lt;&gt;"",M5&lt;=3),"Affutage (&lt; 3 sem) — plus de test a fond. Allure de course.",AND(S5&lt;&gt;"",S5&gt;0.1),"Vitesse OK, il casse sur 100 (lactique / pacing / technique).",AND(T5&lt;&gt;"",T5&gt;0.12),"Manque aerobie / seuil — Batterie B (T200+T400) et series CSS.",AND(T5&lt;&gt;"",T5&lt;0.06,S5&lt;&gt;"",S5&lt;0.08),"Profil homogene — specificite d'allure vers la cible.",BA5="","Ajouter un T50 a la prochaine Batterie A.",TRUE,"Profil coherent. Voir consigne_charge pour deload / retest."))</f>
        <v/>
      </c>
      <c r="X5" s="13">
        <f>IF($A5="","",COUNTIFS(tblSeances[id_nageur],$A5,tblSeances[lundi],(TODAY()-WEEKDAY(TODAY(),3)),tblSeances[faite],"oui")&amp;"/"&amp;IFERROR(INDEX(tblNageurs[seances_sem],MATCH($A5,tblNageurs[id],0)),""))</f>
        <v/>
      </c>
      <c r="Y5" s="18">
        <f>IF($A5="","",SUMIFS(tblSeances[volume_m],tblSeances[id_nageur],$A5,tblSeances[lundi],(TODAY()-WEEKDAY(TODAY(),3)),tblSeances[faite],"oui"))</f>
        <v/>
      </c>
      <c r="Z5" s="13">
        <f>IF($A5="","",TEXT(SUMIFS(tblSeances[volume_m],tblSeances[id_nageur],$A5,tblSeances[lundi],(TODAY()-WEEKDAY(TODAY(),3)),tblSeances[faite],"oui"),"0")&amp;" / "&amp;TEXT(SUMIFS(tblSeances[volume_m],tblSeances[id_nageur],$A5,tblSeances[lundi],(TODAY()-WEEKDAY(TODAY(),3))-7,tblSeances[faite],"oui"),"0")&amp;" / "&amp;TEXT(SUMIFS(tblSeances[volume_m],tblSeances[id_nageur],$A5,tblSeances[lundi],(TODAY()-WEEKDAY(TODAY(),3))-14,tblSeances[faite],"oui"),"0"))</f>
        <v/>
      </c>
      <c r="AA5" s="13">
        <f>IF($A5="","",IFERROR(INDEX(FILTER(CHARGE!L$3:L$82,(CHARGE!A$3:A$82=$A5)*(CHARGE!B$3:B$82=(TODAY()-WEEKDAY(TODAY(),3)))),1),""))</f>
        <v/>
      </c>
      <c r="AB5" s="13">
        <f>IF($A5="","",IFERROR(INDEX(FILTER(CHARGE!M$3:M$82,(CHARGE!A$3:A$82=$A5)*(CHARGE!B$3:B$82=(TODAY()-WEEKDAY(TODAY(),3)))),1),""))</f>
        <v/>
      </c>
      <c r="AC5" s="15">
        <f>IF($A5="","",IFERROR(INDEX(FILTER(CHARGE!N$3:N$82,(CHARGE!A$3:A$82=$A5)*(CHARGE!B$3:B$82=(TODAY()-WEEKDAY(TODAY(),3)))),1),""))</f>
        <v/>
      </c>
      <c r="BA5" s="19">
        <f>IF($A5="","",IFERROR(INDEX(FILTER(tblTests[temps_sec],(tblTests[id_nageur]=$A5)*(tblTests[protocole]="T50")*(tblTests[nage]=$F5)*(tblTests[valide]="oui")*(tblTests[date]=MAXIFS(tblTests[date],tblTests[id_nageur],$A5,tblTests[protocole],"T50",tblTests[nage],$F5,tblTests[valide],"oui"))),1),""))</f>
        <v/>
      </c>
      <c r="BB5" s="19">
        <f>IF($A5="","",IFERROR(INDEX(FILTER(tblTests[temps_sec],(tblTests[id_nageur]=$A5)*(tblTests[protocole]="T100")*(tblTests[nage]=$F5)*(tblTests[valide]="oui")*(tblTests[date]=MAXIFS(tblTests[date],tblTests[id_nageur],$A5,tblTests[protocole],"T100",tblTests[nage],$F5,tblTests[valide],"oui"))),1),""))</f>
        <v/>
      </c>
      <c r="BC5" s="19">
        <f>IF($A5="","",IFERROR(INDEX(FILTER(tblTests[temps_sec],(tblTests[id_nageur]=$A5)*(tblTests[protocole]="T200")*(tblTests[nage]=$F5)*(tblTests[valide]="oui")*(tblTests[date]=MAXIFS(tblTests[date],tblTests[id_nageur],$A5,tblTests[protocole],"T200",tblTests[nage],$F5,tblTests[valide],"oui"))),1),""))</f>
        <v/>
      </c>
      <c r="BD5" s="19">
        <f>IF($A5="","",IFERROR(INDEX(FILTER(tblTests[temps_sec],(tblTests[id_nageur]=$A5)*(tblTests[protocole]="T400")*(tblTests[nage]=$F5)*(tblTests[valide]="oui")*(tblTests[date]=MAXIFS(tblTests[date],tblTests[id_nageur],$A5,tblTests[protocole],"T400",tblTests[nage],$F5,tblTests[valide],"oui"))),1),""))</f>
        <v/>
      </c>
      <c r="BE5" s="19">
        <f>IF($A5="","",IFERROR(INDEX(FILTER(tblTests[temps_sec],(tblTests[id_nageur]=$A5)*(tblTests[protocole]="T100")*(tblTests[nage]=$F5)*(tblTests[valide]="oui")*(tblTests[date]=IFERROR(LARGE(FILTER(tblTests[date],(tblTests[id_nageur]=$A5)*(tblTests[protocole]="T100")*(tblTests[nage]=$F5)*(tblTests[valide]="oui")),2),0))),1),""))</f>
        <v/>
      </c>
      <c r="BF5" s="14">
        <f>IF($A5="","",IFERROR(MAXIFS(tblTests[date],tblTests[id_nageur],$A5,tblTests[protocole],"T100",tblTests[nage],$F5,tblTests[valide],"oui"),""))</f>
        <v/>
      </c>
    </row>
    <row r="6" ht="36" customHeight="1">
      <c r="A6" s="20">
        <f>IFERROR(IF(INDEX(tblNageurs[id],4)="","",INDEX(tblNageurs[id],4)),"")</f>
        <v/>
      </c>
      <c r="B6" s="20">
        <f>IF($A6="","",IFERROR(INDEX(tblNageurs[prenom],4),""))</f>
        <v/>
      </c>
      <c r="C6" s="20">
        <f>IF($A6="","",IFERROR(INDEX(tblNageurs[nom],4),""))</f>
        <v/>
      </c>
      <c r="D6" s="20">
        <f>IF($A6="","",IFERROR(INDEX(tblNageurs[niveau],4),""))</f>
        <v/>
      </c>
      <c r="E6" s="20">
        <f>IF($A6="","",IFERROR(INDEX(tblNageurs[statut],4),""))</f>
        <v/>
      </c>
      <c r="F6" s="20">
        <f>IF($A6="","",IF(OR($H6="dos",$H6="brasse",$H6="papillon"),$H6,"crawl"))</f>
        <v/>
      </c>
      <c r="G6" s="20">
        <f>IF($A6="","",IFERROR(XLOOKUP($A6,tblObjectifs[cle_dashboard],tblObjectifs[discipline],""),""))</f>
        <v/>
      </c>
      <c r="H6" s="20">
        <f>IF($A6="","",IFERROR(XLOOKUP($A6,tblObjectifs[cle_dashboard],tblObjectifs[nage],""),""))</f>
        <v/>
      </c>
      <c r="I6" s="20">
        <f>IF($A6="","",IFERROR(XLOOKUP($A6,tblObjectifs[cle_dashboard],tblObjectifs[distance_m],""),""))</f>
        <v/>
      </c>
      <c r="J6" s="21">
        <f>IF($A6="","",IFERROR(XLOOKUP($A6,tblObjectifs[cle_dashboard],tblObjectifs[date_objectif],""),""))</f>
        <v/>
      </c>
      <c r="K6" s="22">
        <f>IF($A6="","",IFERROR(XLOOKUP($A6,tblObjectifs[cle_dashboard],tblObjectifs[lieu],""),""))</f>
        <v/>
      </c>
      <c r="L6" s="20">
        <f>IF($A6="","",IFERROR(XLOOKUP($A6,tblObjectifs[cle_dashboard],tblObjectifs[temps_cible],""),""))</f>
        <v/>
      </c>
      <c r="M6" s="23">
        <f>IF(OR($A6="",$J6=""),"",($J6-TODAY())/7)</f>
        <v/>
      </c>
      <c r="N6" s="20">
        <f>IF(BA6="","",INT(BA6/60)&amp;":"&amp;TEXT(MOD(BA6,60),"00.00"))</f>
        <v/>
      </c>
      <c r="O6" s="20">
        <f>IF(BB6="","",INT(BB6/60)&amp;":"&amp;TEXT(MOD(BB6,60),"00.00"))</f>
        <v/>
      </c>
      <c r="P6" s="20">
        <f>IF(BC6="","",INT(BC6/60)&amp;":"&amp;TEXT(MOD(BC6,60),"00.00"))</f>
        <v/>
      </c>
      <c r="Q6" s="20">
        <f>IF(BD6="","",INT(BD6/60)&amp;":"&amp;TEXT(MOD(BD6,60),"00.00"))</f>
        <v/>
      </c>
      <c r="R6" s="24">
        <f>IF(OR(BB6="",BE6=""),"",(BB6-BE6)/BE6)</f>
        <v/>
      </c>
      <c r="S6" s="24">
        <f>IF(OR(BA6="",BB6=""),"",BB6/(2*BA6)-1)</f>
        <v/>
      </c>
      <c r="T6" s="24">
        <f>IF(OR(BB6="",BD6=""),"",BD6/(4*BB6)-1)</f>
        <v/>
      </c>
      <c r="U6" s="20">
        <f>IF(OR(BC6="",BD6=""),"",INT(((BD6-BC6)/2)/60)&amp;":"&amp;TEXT(MOD((BD6-BC6)/2,60),"00.00"))</f>
        <v/>
      </c>
      <c r="V6" s="23">
        <f>IF(BB6="","",ROUND(BB6,1))</f>
        <v/>
      </c>
      <c r="W6" s="22">
        <f>IF($A6="","",IFS(BB6="","Pas de T100 valide — Batterie A (T50 + T100).",AND(M6&lt;&gt;"",M6&lt;=3),"Affutage (&lt; 3 sem) — plus de test a fond. Allure de course.",AND(S6&lt;&gt;"",S6&gt;0.1),"Vitesse OK, il casse sur 100 (lactique / pacing / technique).",AND(T6&lt;&gt;"",T6&gt;0.12),"Manque aerobie / seuil — Batterie B (T200+T400) et series CSS.",AND(T6&lt;&gt;"",T6&lt;0.06,S6&lt;&gt;"",S6&lt;0.08),"Profil homogene — specificite d'allure vers la cible.",BA6="","Ajouter un T50 a la prochaine Batterie A.",TRUE,"Profil coherent. Voir consigne_charge pour deload / retest."))</f>
        <v/>
      </c>
      <c r="X6" s="20">
        <f>IF($A6="","",COUNTIFS(tblSeances[id_nageur],$A6,tblSeances[lundi],(TODAY()-WEEKDAY(TODAY(),3)),tblSeances[faite],"oui")&amp;"/"&amp;IFERROR(INDEX(tblNageurs[seances_sem],MATCH($A6,tblNageurs[id],0)),""))</f>
        <v/>
      </c>
      <c r="Y6" s="25">
        <f>IF($A6="","",SUMIFS(tblSeances[volume_m],tblSeances[id_nageur],$A6,tblSeances[lundi],(TODAY()-WEEKDAY(TODAY(),3)),tblSeances[faite],"oui"))</f>
        <v/>
      </c>
      <c r="Z6" s="20">
        <f>IF($A6="","",TEXT(SUMIFS(tblSeances[volume_m],tblSeances[id_nageur],$A6,tblSeances[lundi],(TODAY()-WEEKDAY(TODAY(),3)),tblSeances[faite],"oui"),"0")&amp;" / "&amp;TEXT(SUMIFS(tblSeances[volume_m],tblSeances[id_nageur],$A6,tblSeances[lundi],(TODAY()-WEEKDAY(TODAY(),3))-7,tblSeances[faite],"oui"),"0")&amp;" / "&amp;TEXT(SUMIFS(tblSeances[volume_m],tblSeances[id_nageur],$A6,tblSeances[lundi],(TODAY()-WEEKDAY(TODAY(),3))-14,tblSeances[faite],"oui"),"0"))</f>
        <v/>
      </c>
      <c r="AA6" s="20">
        <f>IF($A6="","",IFERROR(INDEX(FILTER(CHARGE!L$3:L$82,(CHARGE!A$3:A$82=$A6)*(CHARGE!B$3:B$82=(TODAY()-WEEKDAY(TODAY(),3)))),1),""))</f>
        <v/>
      </c>
      <c r="AB6" s="20">
        <f>IF($A6="","",IFERROR(INDEX(FILTER(CHARGE!M$3:M$82,(CHARGE!A$3:A$82=$A6)*(CHARGE!B$3:B$82=(TODAY()-WEEKDAY(TODAY(),3)))),1),""))</f>
        <v/>
      </c>
      <c r="AC6" s="22">
        <f>IF($A6="","",IFERROR(INDEX(FILTER(CHARGE!N$3:N$82,(CHARGE!A$3:A$82=$A6)*(CHARGE!B$3:B$82=(TODAY()-WEEKDAY(TODAY(),3)))),1),""))</f>
        <v/>
      </c>
      <c r="BA6" s="19">
        <f>IF($A6="","",IFERROR(INDEX(FILTER(tblTests[temps_sec],(tblTests[id_nageur]=$A6)*(tblTests[protocole]="T50")*(tblTests[nage]=$F6)*(tblTests[valide]="oui")*(tblTests[date]=MAXIFS(tblTests[date],tblTests[id_nageur],$A6,tblTests[protocole],"T50",tblTests[nage],$F6,tblTests[valide],"oui"))),1),""))</f>
        <v/>
      </c>
      <c r="BB6" s="19">
        <f>IF($A6="","",IFERROR(INDEX(FILTER(tblTests[temps_sec],(tblTests[id_nageur]=$A6)*(tblTests[protocole]="T100")*(tblTests[nage]=$F6)*(tblTests[valide]="oui")*(tblTests[date]=MAXIFS(tblTests[date],tblTests[id_nageur],$A6,tblTests[protocole],"T100",tblTests[nage],$F6,tblTests[valide],"oui"))),1),""))</f>
        <v/>
      </c>
      <c r="BC6" s="19">
        <f>IF($A6="","",IFERROR(INDEX(FILTER(tblTests[temps_sec],(tblTests[id_nageur]=$A6)*(tblTests[protocole]="T200")*(tblTests[nage]=$F6)*(tblTests[valide]="oui")*(tblTests[date]=MAXIFS(tblTests[date],tblTests[id_nageur],$A6,tblTests[protocole],"T200",tblTests[nage],$F6,tblTests[valide],"oui"))),1),""))</f>
        <v/>
      </c>
      <c r="BD6" s="19">
        <f>IF($A6="","",IFERROR(INDEX(FILTER(tblTests[temps_sec],(tblTests[id_nageur]=$A6)*(tblTests[protocole]="T400")*(tblTests[nage]=$F6)*(tblTests[valide]="oui")*(tblTests[date]=MAXIFS(tblTests[date],tblTests[id_nageur],$A6,tblTests[protocole],"T400",tblTests[nage],$F6,tblTests[valide],"oui"))),1),""))</f>
        <v/>
      </c>
      <c r="BE6" s="19">
        <f>IF($A6="","",IFERROR(INDEX(FILTER(tblTests[temps_sec],(tblTests[id_nageur]=$A6)*(tblTests[protocole]="T100")*(tblTests[nage]=$F6)*(tblTests[valide]="oui")*(tblTests[date]=IFERROR(LARGE(FILTER(tblTests[date],(tblTests[id_nageur]=$A6)*(tblTests[protocole]="T100")*(tblTests[nage]=$F6)*(tblTests[valide]="oui")),2),0))),1),""))</f>
        <v/>
      </c>
      <c r="BF6" s="14">
        <f>IF($A6="","",IFERROR(MAXIFS(tblTests[date],tblTests[id_nageur],$A6,tblTests[protocole],"T100",tblTests[nage],$F6,tblTests[valide],"oui"),""))</f>
        <v/>
      </c>
    </row>
    <row r="7" ht="36" customHeight="1">
      <c r="A7" s="13">
        <f>IFERROR(IF(INDEX(tblNageurs[id],5)="","",INDEX(tblNageurs[id],5)),"")</f>
        <v/>
      </c>
      <c r="B7" s="13">
        <f>IF($A7="","",IFERROR(INDEX(tblNageurs[prenom],5),""))</f>
        <v/>
      </c>
      <c r="C7" s="13">
        <f>IF($A7="","",IFERROR(INDEX(tblNageurs[nom],5),""))</f>
        <v/>
      </c>
      <c r="D7" s="13">
        <f>IF($A7="","",IFERROR(INDEX(tblNageurs[niveau],5),""))</f>
        <v/>
      </c>
      <c r="E7" s="13">
        <f>IF($A7="","",IFERROR(INDEX(tblNageurs[statut],5),""))</f>
        <v/>
      </c>
      <c r="F7" s="13">
        <f>IF($A7="","",IF(OR($H7="dos",$H7="brasse",$H7="papillon"),$H7,"crawl"))</f>
        <v/>
      </c>
      <c r="G7" s="13">
        <f>IF($A7="","",IFERROR(XLOOKUP($A7,tblObjectifs[cle_dashboard],tblObjectifs[discipline],""),""))</f>
        <v/>
      </c>
      <c r="H7" s="13">
        <f>IF($A7="","",IFERROR(XLOOKUP($A7,tblObjectifs[cle_dashboard],tblObjectifs[nage],""),""))</f>
        <v/>
      </c>
      <c r="I7" s="13">
        <f>IF($A7="","",IFERROR(XLOOKUP($A7,tblObjectifs[cle_dashboard],tblObjectifs[distance_m],""),""))</f>
        <v/>
      </c>
      <c r="J7" s="14">
        <f>IF($A7="","",IFERROR(XLOOKUP($A7,tblObjectifs[cle_dashboard],tblObjectifs[date_objectif],""),""))</f>
        <v/>
      </c>
      <c r="K7" s="15">
        <f>IF($A7="","",IFERROR(XLOOKUP($A7,tblObjectifs[cle_dashboard],tblObjectifs[lieu],""),""))</f>
        <v/>
      </c>
      <c r="L7" s="13">
        <f>IF($A7="","",IFERROR(XLOOKUP($A7,tblObjectifs[cle_dashboard],tblObjectifs[temps_cible],""),""))</f>
        <v/>
      </c>
      <c r="M7" s="16">
        <f>IF(OR($A7="",$J7=""),"",($J7-TODAY())/7)</f>
        <v/>
      </c>
      <c r="N7" s="13">
        <f>IF(BA7="","",INT(BA7/60)&amp;":"&amp;TEXT(MOD(BA7,60),"00.00"))</f>
        <v/>
      </c>
      <c r="O7" s="13">
        <f>IF(BB7="","",INT(BB7/60)&amp;":"&amp;TEXT(MOD(BB7,60),"00.00"))</f>
        <v/>
      </c>
      <c r="P7" s="13">
        <f>IF(BC7="","",INT(BC7/60)&amp;":"&amp;TEXT(MOD(BC7,60),"00.00"))</f>
        <v/>
      </c>
      <c r="Q7" s="13">
        <f>IF(BD7="","",INT(BD7/60)&amp;":"&amp;TEXT(MOD(BD7,60),"00.00"))</f>
        <v/>
      </c>
      <c r="R7" s="17">
        <f>IF(OR(BB7="",BE7=""),"",(BB7-BE7)/BE7)</f>
        <v/>
      </c>
      <c r="S7" s="17">
        <f>IF(OR(BA7="",BB7=""),"",BB7/(2*BA7)-1)</f>
        <v/>
      </c>
      <c r="T7" s="17">
        <f>IF(OR(BB7="",BD7=""),"",BD7/(4*BB7)-1)</f>
        <v/>
      </c>
      <c r="U7" s="13">
        <f>IF(OR(BC7="",BD7=""),"",INT(((BD7-BC7)/2)/60)&amp;":"&amp;TEXT(MOD((BD7-BC7)/2,60),"00.00"))</f>
        <v/>
      </c>
      <c r="V7" s="16">
        <f>IF(BB7="","",ROUND(BB7,1))</f>
        <v/>
      </c>
      <c r="W7" s="15">
        <f>IF($A7="","",IFS(BB7="","Pas de T100 valide — Batterie A (T50 + T100).",AND(M7&lt;&gt;"",M7&lt;=3),"Affutage (&lt; 3 sem) — plus de test a fond. Allure de course.",AND(S7&lt;&gt;"",S7&gt;0.1),"Vitesse OK, il casse sur 100 (lactique / pacing / technique).",AND(T7&lt;&gt;"",T7&gt;0.12),"Manque aerobie / seuil — Batterie B (T200+T400) et series CSS.",AND(T7&lt;&gt;"",T7&lt;0.06,S7&lt;&gt;"",S7&lt;0.08),"Profil homogene — specificite d'allure vers la cible.",BA7="","Ajouter un T50 a la prochaine Batterie A.",TRUE,"Profil coherent. Voir consigne_charge pour deload / retest."))</f>
        <v/>
      </c>
      <c r="X7" s="13">
        <f>IF($A7="","",COUNTIFS(tblSeances[id_nageur],$A7,tblSeances[lundi],(TODAY()-WEEKDAY(TODAY(),3)),tblSeances[faite],"oui")&amp;"/"&amp;IFERROR(INDEX(tblNageurs[seances_sem],MATCH($A7,tblNageurs[id],0)),""))</f>
        <v/>
      </c>
      <c r="Y7" s="18">
        <f>IF($A7="","",SUMIFS(tblSeances[volume_m],tblSeances[id_nageur],$A7,tblSeances[lundi],(TODAY()-WEEKDAY(TODAY(),3)),tblSeances[faite],"oui"))</f>
        <v/>
      </c>
      <c r="Z7" s="13">
        <f>IF($A7="","",TEXT(SUMIFS(tblSeances[volume_m],tblSeances[id_nageur],$A7,tblSeances[lundi],(TODAY()-WEEKDAY(TODAY(),3)),tblSeances[faite],"oui"),"0")&amp;" / "&amp;TEXT(SUMIFS(tblSeances[volume_m],tblSeances[id_nageur],$A7,tblSeances[lundi],(TODAY()-WEEKDAY(TODAY(),3))-7,tblSeances[faite],"oui"),"0")&amp;" / "&amp;TEXT(SUMIFS(tblSeances[volume_m],tblSeances[id_nageur],$A7,tblSeances[lundi],(TODAY()-WEEKDAY(TODAY(),3))-14,tblSeances[faite],"oui"),"0"))</f>
        <v/>
      </c>
      <c r="AA7" s="13">
        <f>IF($A7="","",IFERROR(INDEX(FILTER(CHARGE!L$3:L$82,(CHARGE!A$3:A$82=$A7)*(CHARGE!B$3:B$82=(TODAY()-WEEKDAY(TODAY(),3)))),1),""))</f>
        <v/>
      </c>
      <c r="AB7" s="13">
        <f>IF($A7="","",IFERROR(INDEX(FILTER(CHARGE!M$3:M$82,(CHARGE!A$3:A$82=$A7)*(CHARGE!B$3:B$82=(TODAY()-WEEKDAY(TODAY(),3)))),1),""))</f>
        <v/>
      </c>
      <c r="AC7" s="15">
        <f>IF($A7="","",IFERROR(INDEX(FILTER(CHARGE!N$3:N$82,(CHARGE!A$3:A$82=$A7)*(CHARGE!B$3:B$82=(TODAY()-WEEKDAY(TODAY(),3)))),1),""))</f>
        <v/>
      </c>
      <c r="BA7" s="19">
        <f>IF($A7="","",IFERROR(INDEX(FILTER(tblTests[temps_sec],(tblTests[id_nageur]=$A7)*(tblTests[protocole]="T50")*(tblTests[nage]=$F7)*(tblTests[valide]="oui")*(tblTests[date]=MAXIFS(tblTests[date],tblTests[id_nageur],$A7,tblTests[protocole],"T50",tblTests[nage],$F7,tblTests[valide],"oui"))),1),""))</f>
        <v/>
      </c>
      <c r="BB7" s="19">
        <f>IF($A7="","",IFERROR(INDEX(FILTER(tblTests[temps_sec],(tblTests[id_nageur]=$A7)*(tblTests[protocole]="T100")*(tblTests[nage]=$F7)*(tblTests[valide]="oui")*(tblTests[date]=MAXIFS(tblTests[date],tblTests[id_nageur],$A7,tblTests[protocole],"T100",tblTests[nage],$F7,tblTests[valide],"oui"))),1),""))</f>
        <v/>
      </c>
      <c r="BC7" s="19">
        <f>IF($A7="","",IFERROR(INDEX(FILTER(tblTests[temps_sec],(tblTests[id_nageur]=$A7)*(tblTests[protocole]="T200")*(tblTests[nage]=$F7)*(tblTests[valide]="oui")*(tblTests[date]=MAXIFS(tblTests[date],tblTests[id_nageur],$A7,tblTests[protocole],"T200",tblTests[nage],$F7,tblTests[valide],"oui"))),1),""))</f>
        <v/>
      </c>
      <c r="BD7" s="19">
        <f>IF($A7="","",IFERROR(INDEX(FILTER(tblTests[temps_sec],(tblTests[id_nageur]=$A7)*(tblTests[protocole]="T400")*(tblTests[nage]=$F7)*(tblTests[valide]="oui")*(tblTests[date]=MAXIFS(tblTests[date],tblTests[id_nageur],$A7,tblTests[protocole],"T400",tblTests[nage],$F7,tblTests[valide],"oui"))),1),""))</f>
        <v/>
      </c>
      <c r="BE7" s="19">
        <f>IF($A7="","",IFERROR(INDEX(FILTER(tblTests[temps_sec],(tblTests[id_nageur]=$A7)*(tblTests[protocole]="T100")*(tblTests[nage]=$F7)*(tblTests[valide]="oui")*(tblTests[date]=IFERROR(LARGE(FILTER(tblTests[date],(tblTests[id_nageur]=$A7)*(tblTests[protocole]="T100")*(tblTests[nage]=$F7)*(tblTests[valide]="oui")),2),0))),1),""))</f>
        <v/>
      </c>
      <c r="BF7" s="14">
        <f>IF($A7="","",IFERROR(MAXIFS(tblTests[date],tblTests[id_nageur],$A7,tblTests[protocole],"T100",tblTests[nage],$F7,tblTests[valide],"oui"),""))</f>
        <v/>
      </c>
    </row>
    <row r="8" ht="36" customHeight="1">
      <c r="A8" s="20">
        <f>IFERROR(IF(INDEX(tblNageurs[id],6)="","",INDEX(tblNageurs[id],6)),"")</f>
        <v/>
      </c>
      <c r="B8" s="20">
        <f>IF($A8="","",IFERROR(INDEX(tblNageurs[prenom],6),""))</f>
        <v/>
      </c>
      <c r="C8" s="20">
        <f>IF($A8="","",IFERROR(INDEX(tblNageurs[nom],6),""))</f>
        <v/>
      </c>
      <c r="D8" s="20">
        <f>IF($A8="","",IFERROR(INDEX(tblNageurs[niveau],6),""))</f>
        <v/>
      </c>
      <c r="E8" s="20">
        <f>IF($A8="","",IFERROR(INDEX(tblNageurs[statut],6),""))</f>
        <v/>
      </c>
      <c r="F8" s="20">
        <f>IF($A8="","",IF(OR($H8="dos",$H8="brasse",$H8="papillon"),$H8,"crawl"))</f>
        <v/>
      </c>
      <c r="G8" s="20">
        <f>IF($A8="","",IFERROR(XLOOKUP($A8,tblObjectifs[cle_dashboard],tblObjectifs[discipline],""),""))</f>
        <v/>
      </c>
      <c r="H8" s="20">
        <f>IF($A8="","",IFERROR(XLOOKUP($A8,tblObjectifs[cle_dashboard],tblObjectifs[nage],""),""))</f>
        <v/>
      </c>
      <c r="I8" s="20">
        <f>IF($A8="","",IFERROR(XLOOKUP($A8,tblObjectifs[cle_dashboard],tblObjectifs[distance_m],""),""))</f>
        <v/>
      </c>
      <c r="J8" s="21">
        <f>IF($A8="","",IFERROR(XLOOKUP($A8,tblObjectifs[cle_dashboard],tblObjectifs[date_objectif],""),""))</f>
        <v/>
      </c>
      <c r="K8" s="22">
        <f>IF($A8="","",IFERROR(XLOOKUP($A8,tblObjectifs[cle_dashboard],tblObjectifs[lieu],""),""))</f>
        <v/>
      </c>
      <c r="L8" s="20">
        <f>IF($A8="","",IFERROR(XLOOKUP($A8,tblObjectifs[cle_dashboard],tblObjectifs[temps_cible],""),""))</f>
        <v/>
      </c>
      <c r="M8" s="23">
        <f>IF(OR($A8="",$J8=""),"",($J8-TODAY())/7)</f>
        <v/>
      </c>
      <c r="N8" s="20">
        <f>IF(BA8="","",INT(BA8/60)&amp;":"&amp;TEXT(MOD(BA8,60),"00.00"))</f>
        <v/>
      </c>
      <c r="O8" s="20">
        <f>IF(BB8="","",INT(BB8/60)&amp;":"&amp;TEXT(MOD(BB8,60),"00.00"))</f>
        <v/>
      </c>
      <c r="P8" s="20">
        <f>IF(BC8="","",INT(BC8/60)&amp;":"&amp;TEXT(MOD(BC8,60),"00.00"))</f>
        <v/>
      </c>
      <c r="Q8" s="20">
        <f>IF(BD8="","",INT(BD8/60)&amp;":"&amp;TEXT(MOD(BD8,60),"00.00"))</f>
        <v/>
      </c>
      <c r="R8" s="24">
        <f>IF(OR(BB8="",BE8=""),"",(BB8-BE8)/BE8)</f>
        <v/>
      </c>
      <c r="S8" s="24">
        <f>IF(OR(BA8="",BB8=""),"",BB8/(2*BA8)-1)</f>
        <v/>
      </c>
      <c r="T8" s="24">
        <f>IF(OR(BB8="",BD8=""),"",BD8/(4*BB8)-1)</f>
        <v/>
      </c>
      <c r="U8" s="20">
        <f>IF(OR(BC8="",BD8=""),"",INT(((BD8-BC8)/2)/60)&amp;":"&amp;TEXT(MOD((BD8-BC8)/2,60),"00.00"))</f>
        <v/>
      </c>
      <c r="V8" s="23">
        <f>IF(BB8="","",ROUND(BB8,1))</f>
        <v/>
      </c>
      <c r="W8" s="22">
        <f>IF($A8="","",IFS(BB8="","Pas de T100 valide — Batterie A (T50 + T100).",AND(M8&lt;&gt;"",M8&lt;=3),"Affutage (&lt; 3 sem) — plus de test a fond. Allure de course.",AND(S8&lt;&gt;"",S8&gt;0.1),"Vitesse OK, il casse sur 100 (lactique / pacing / technique).",AND(T8&lt;&gt;"",T8&gt;0.12),"Manque aerobie / seuil — Batterie B (T200+T400) et series CSS.",AND(T8&lt;&gt;"",T8&lt;0.06,S8&lt;&gt;"",S8&lt;0.08),"Profil homogene — specificite d'allure vers la cible.",BA8="","Ajouter un T50 a la prochaine Batterie A.",TRUE,"Profil coherent. Voir consigne_charge pour deload / retest."))</f>
        <v/>
      </c>
      <c r="X8" s="20">
        <f>IF($A8="","",COUNTIFS(tblSeances[id_nageur],$A8,tblSeances[lundi],(TODAY()-WEEKDAY(TODAY(),3)),tblSeances[faite],"oui")&amp;"/"&amp;IFERROR(INDEX(tblNageurs[seances_sem],MATCH($A8,tblNageurs[id],0)),""))</f>
        <v/>
      </c>
      <c r="Y8" s="25">
        <f>IF($A8="","",SUMIFS(tblSeances[volume_m],tblSeances[id_nageur],$A8,tblSeances[lundi],(TODAY()-WEEKDAY(TODAY(),3)),tblSeances[faite],"oui"))</f>
        <v/>
      </c>
      <c r="Z8" s="20">
        <f>IF($A8="","",TEXT(SUMIFS(tblSeances[volume_m],tblSeances[id_nageur],$A8,tblSeances[lundi],(TODAY()-WEEKDAY(TODAY(),3)),tblSeances[faite],"oui"),"0")&amp;" / "&amp;TEXT(SUMIFS(tblSeances[volume_m],tblSeances[id_nageur],$A8,tblSeances[lundi],(TODAY()-WEEKDAY(TODAY(),3))-7,tblSeances[faite],"oui"),"0")&amp;" / "&amp;TEXT(SUMIFS(tblSeances[volume_m],tblSeances[id_nageur],$A8,tblSeances[lundi],(TODAY()-WEEKDAY(TODAY(),3))-14,tblSeances[faite],"oui"),"0"))</f>
        <v/>
      </c>
      <c r="AA8" s="20">
        <f>IF($A8="","",IFERROR(INDEX(FILTER(CHARGE!L$3:L$82,(CHARGE!A$3:A$82=$A8)*(CHARGE!B$3:B$82=(TODAY()-WEEKDAY(TODAY(),3)))),1),""))</f>
        <v/>
      </c>
      <c r="AB8" s="20">
        <f>IF($A8="","",IFERROR(INDEX(FILTER(CHARGE!M$3:M$82,(CHARGE!A$3:A$82=$A8)*(CHARGE!B$3:B$82=(TODAY()-WEEKDAY(TODAY(),3)))),1),""))</f>
        <v/>
      </c>
      <c r="AC8" s="22">
        <f>IF($A8="","",IFERROR(INDEX(FILTER(CHARGE!N$3:N$82,(CHARGE!A$3:A$82=$A8)*(CHARGE!B$3:B$82=(TODAY()-WEEKDAY(TODAY(),3)))),1),""))</f>
        <v/>
      </c>
      <c r="BA8" s="19">
        <f>IF($A8="","",IFERROR(INDEX(FILTER(tblTests[temps_sec],(tblTests[id_nageur]=$A8)*(tblTests[protocole]="T50")*(tblTests[nage]=$F8)*(tblTests[valide]="oui")*(tblTests[date]=MAXIFS(tblTests[date],tblTests[id_nageur],$A8,tblTests[protocole],"T50",tblTests[nage],$F8,tblTests[valide],"oui"))),1),""))</f>
        <v/>
      </c>
      <c r="BB8" s="19">
        <f>IF($A8="","",IFERROR(INDEX(FILTER(tblTests[temps_sec],(tblTests[id_nageur]=$A8)*(tblTests[protocole]="T100")*(tblTests[nage]=$F8)*(tblTests[valide]="oui")*(tblTests[date]=MAXIFS(tblTests[date],tblTests[id_nageur],$A8,tblTests[protocole],"T100",tblTests[nage],$F8,tblTests[valide],"oui"))),1),""))</f>
        <v/>
      </c>
      <c r="BC8" s="19">
        <f>IF($A8="","",IFERROR(INDEX(FILTER(tblTests[temps_sec],(tblTests[id_nageur]=$A8)*(tblTests[protocole]="T200")*(tblTests[nage]=$F8)*(tblTests[valide]="oui")*(tblTests[date]=MAXIFS(tblTests[date],tblTests[id_nageur],$A8,tblTests[protocole],"T200",tblTests[nage],$F8,tblTests[valide],"oui"))),1),""))</f>
        <v/>
      </c>
      <c r="BD8" s="19">
        <f>IF($A8="","",IFERROR(INDEX(FILTER(tblTests[temps_sec],(tblTests[id_nageur]=$A8)*(tblTests[protocole]="T400")*(tblTests[nage]=$F8)*(tblTests[valide]="oui")*(tblTests[date]=MAXIFS(tblTests[date],tblTests[id_nageur],$A8,tblTests[protocole],"T400",tblTests[nage],$F8,tblTests[valide],"oui"))),1),""))</f>
        <v/>
      </c>
      <c r="BE8" s="19">
        <f>IF($A8="","",IFERROR(INDEX(FILTER(tblTests[temps_sec],(tblTests[id_nageur]=$A8)*(tblTests[protocole]="T100")*(tblTests[nage]=$F8)*(tblTests[valide]="oui")*(tblTests[date]=IFERROR(LARGE(FILTER(tblTests[date],(tblTests[id_nageur]=$A8)*(tblTests[protocole]="T100")*(tblTests[nage]=$F8)*(tblTests[valide]="oui")),2),0))),1),""))</f>
        <v/>
      </c>
      <c r="BF8" s="14">
        <f>IF($A8="","",IFERROR(MAXIFS(tblTests[date],tblTests[id_nageur],$A8,tblTests[protocole],"T100",tblTests[nage],$F8,tblTests[valide],"oui"),""))</f>
        <v/>
      </c>
    </row>
    <row r="9" ht="36" customHeight="1">
      <c r="A9" s="13">
        <f>IFERROR(IF(INDEX(tblNageurs[id],7)="","",INDEX(tblNageurs[id],7)),"")</f>
        <v/>
      </c>
      <c r="B9" s="13">
        <f>IF($A9="","",IFERROR(INDEX(tblNageurs[prenom],7),""))</f>
        <v/>
      </c>
      <c r="C9" s="13">
        <f>IF($A9="","",IFERROR(INDEX(tblNageurs[nom],7),""))</f>
        <v/>
      </c>
      <c r="D9" s="13">
        <f>IF($A9="","",IFERROR(INDEX(tblNageurs[niveau],7),""))</f>
        <v/>
      </c>
      <c r="E9" s="13">
        <f>IF($A9="","",IFERROR(INDEX(tblNageurs[statut],7),""))</f>
        <v/>
      </c>
      <c r="F9" s="13">
        <f>IF($A9="","",IF(OR($H9="dos",$H9="brasse",$H9="papillon"),$H9,"crawl"))</f>
        <v/>
      </c>
      <c r="G9" s="13">
        <f>IF($A9="","",IFERROR(XLOOKUP($A9,tblObjectifs[cle_dashboard],tblObjectifs[discipline],""),""))</f>
        <v/>
      </c>
      <c r="H9" s="13">
        <f>IF($A9="","",IFERROR(XLOOKUP($A9,tblObjectifs[cle_dashboard],tblObjectifs[nage],""),""))</f>
        <v/>
      </c>
      <c r="I9" s="13">
        <f>IF($A9="","",IFERROR(XLOOKUP($A9,tblObjectifs[cle_dashboard],tblObjectifs[distance_m],""),""))</f>
        <v/>
      </c>
      <c r="J9" s="14">
        <f>IF($A9="","",IFERROR(XLOOKUP($A9,tblObjectifs[cle_dashboard],tblObjectifs[date_objectif],""),""))</f>
        <v/>
      </c>
      <c r="K9" s="15">
        <f>IF($A9="","",IFERROR(XLOOKUP($A9,tblObjectifs[cle_dashboard],tblObjectifs[lieu],""),""))</f>
        <v/>
      </c>
      <c r="L9" s="13">
        <f>IF($A9="","",IFERROR(XLOOKUP($A9,tblObjectifs[cle_dashboard],tblObjectifs[temps_cible],""),""))</f>
        <v/>
      </c>
      <c r="M9" s="16">
        <f>IF(OR($A9="",$J9=""),"",($J9-TODAY())/7)</f>
        <v/>
      </c>
      <c r="N9" s="13">
        <f>IF(BA9="","",INT(BA9/60)&amp;":"&amp;TEXT(MOD(BA9,60),"00.00"))</f>
        <v/>
      </c>
      <c r="O9" s="13">
        <f>IF(BB9="","",INT(BB9/60)&amp;":"&amp;TEXT(MOD(BB9,60),"00.00"))</f>
        <v/>
      </c>
      <c r="P9" s="13">
        <f>IF(BC9="","",INT(BC9/60)&amp;":"&amp;TEXT(MOD(BC9,60),"00.00"))</f>
        <v/>
      </c>
      <c r="Q9" s="13">
        <f>IF(BD9="","",INT(BD9/60)&amp;":"&amp;TEXT(MOD(BD9,60),"00.00"))</f>
        <v/>
      </c>
      <c r="R9" s="17">
        <f>IF(OR(BB9="",BE9=""),"",(BB9-BE9)/BE9)</f>
        <v/>
      </c>
      <c r="S9" s="17">
        <f>IF(OR(BA9="",BB9=""),"",BB9/(2*BA9)-1)</f>
        <v/>
      </c>
      <c r="T9" s="17">
        <f>IF(OR(BB9="",BD9=""),"",BD9/(4*BB9)-1)</f>
        <v/>
      </c>
      <c r="U9" s="13">
        <f>IF(OR(BC9="",BD9=""),"",INT(((BD9-BC9)/2)/60)&amp;":"&amp;TEXT(MOD((BD9-BC9)/2,60),"00.00"))</f>
        <v/>
      </c>
      <c r="V9" s="16">
        <f>IF(BB9="","",ROUND(BB9,1))</f>
        <v/>
      </c>
      <c r="W9" s="15">
        <f>IF($A9="","",IFS(BB9="","Pas de T100 valide — Batterie A (T50 + T100).",AND(M9&lt;&gt;"",M9&lt;=3),"Affutage (&lt; 3 sem) — plus de test a fond. Allure de course.",AND(S9&lt;&gt;"",S9&gt;0.1),"Vitesse OK, il casse sur 100 (lactique / pacing / technique).",AND(T9&lt;&gt;"",T9&gt;0.12),"Manque aerobie / seuil — Batterie B (T200+T400) et series CSS.",AND(T9&lt;&gt;"",T9&lt;0.06,S9&lt;&gt;"",S9&lt;0.08),"Profil homogene — specificite d'allure vers la cible.",BA9="","Ajouter un T50 a la prochaine Batterie A.",TRUE,"Profil coherent. Voir consigne_charge pour deload / retest."))</f>
        <v/>
      </c>
      <c r="X9" s="13">
        <f>IF($A9="","",COUNTIFS(tblSeances[id_nageur],$A9,tblSeances[lundi],(TODAY()-WEEKDAY(TODAY(),3)),tblSeances[faite],"oui")&amp;"/"&amp;IFERROR(INDEX(tblNageurs[seances_sem],MATCH($A9,tblNageurs[id],0)),""))</f>
        <v/>
      </c>
      <c r="Y9" s="18">
        <f>IF($A9="","",SUMIFS(tblSeances[volume_m],tblSeances[id_nageur],$A9,tblSeances[lundi],(TODAY()-WEEKDAY(TODAY(),3)),tblSeances[faite],"oui"))</f>
        <v/>
      </c>
      <c r="Z9" s="13">
        <f>IF($A9="","",TEXT(SUMIFS(tblSeances[volume_m],tblSeances[id_nageur],$A9,tblSeances[lundi],(TODAY()-WEEKDAY(TODAY(),3)),tblSeances[faite],"oui"),"0")&amp;" / "&amp;TEXT(SUMIFS(tblSeances[volume_m],tblSeances[id_nageur],$A9,tblSeances[lundi],(TODAY()-WEEKDAY(TODAY(),3))-7,tblSeances[faite],"oui"),"0")&amp;" / "&amp;TEXT(SUMIFS(tblSeances[volume_m],tblSeances[id_nageur],$A9,tblSeances[lundi],(TODAY()-WEEKDAY(TODAY(),3))-14,tblSeances[faite],"oui"),"0"))</f>
        <v/>
      </c>
      <c r="AA9" s="13">
        <f>IF($A9="","",IFERROR(INDEX(FILTER(CHARGE!L$3:L$82,(CHARGE!A$3:A$82=$A9)*(CHARGE!B$3:B$82=(TODAY()-WEEKDAY(TODAY(),3)))),1),""))</f>
        <v/>
      </c>
      <c r="AB9" s="13">
        <f>IF($A9="","",IFERROR(INDEX(FILTER(CHARGE!M$3:M$82,(CHARGE!A$3:A$82=$A9)*(CHARGE!B$3:B$82=(TODAY()-WEEKDAY(TODAY(),3)))),1),""))</f>
        <v/>
      </c>
      <c r="AC9" s="15">
        <f>IF($A9="","",IFERROR(INDEX(FILTER(CHARGE!N$3:N$82,(CHARGE!A$3:A$82=$A9)*(CHARGE!B$3:B$82=(TODAY()-WEEKDAY(TODAY(),3)))),1),""))</f>
        <v/>
      </c>
      <c r="BA9" s="19">
        <f>IF($A9="","",IFERROR(INDEX(FILTER(tblTests[temps_sec],(tblTests[id_nageur]=$A9)*(tblTests[protocole]="T50")*(tblTests[nage]=$F9)*(tblTests[valide]="oui")*(tblTests[date]=MAXIFS(tblTests[date],tblTests[id_nageur],$A9,tblTests[protocole],"T50",tblTests[nage],$F9,tblTests[valide],"oui"))),1),""))</f>
        <v/>
      </c>
      <c r="BB9" s="19">
        <f>IF($A9="","",IFERROR(INDEX(FILTER(tblTests[temps_sec],(tblTests[id_nageur]=$A9)*(tblTests[protocole]="T100")*(tblTests[nage]=$F9)*(tblTests[valide]="oui")*(tblTests[date]=MAXIFS(tblTests[date],tblTests[id_nageur],$A9,tblTests[protocole],"T100",tblTests[nage],$F9,tblTests[valide],"oui"))),1),""))</f>
        <v/>
      </c>
      <c r="BC9" s="19">
        <f>IF($A9="","",IFERROR(INDEX(FILTER(tblTests[temps_sec],(tblTests[id_nageur]=$A9)*(tblTests[protocole]="T200")*(tblTests[nage]=$F9)*(tblTests[valide]="oui")*(tblTests[date]=MAXIFS(tblTests[date],tblTests[id_nageur],$A9,tblTests[protocole],"T200",tblTests[nage],$F9,tblTests[valide],"oui"))),1),""))</f>
        <v/>
      </c>
      <c r="BD9" s="19">
        <f>IF($A9="","",IFERROR(INDEX(FILTER(tblTests[temps_sec],(tblTests[id_nageur]=$A9)*(tblTests[protocole]="T400")*(tblTests[nage]=$F9)*(tblTests[valide]="oui")*(tblTests[date]=MAXIFS(tblTests[date],tblTests[id_nageur],$A9,tblTests[protocole],"T400",tblTests[nage],$F9,tblTests[valide],"oui"))),1),""))</f>
        <v/>
      </c>
      <c r="BE9" s="19">
        <f>IF($A9="","",IFERROR(INDEX(FILTER(tblTests[temps_sec],(tblTests[id_nageur]=$A9)*(tblTests[protocole]="T100")*(tblTests[nage]=$F9)*(tblTests[valide]="oui")*(tblTests[date]=IFERROR(LARGE(FILTER(tblTests[date],(tblTests[id_nageur]=$A9)*(tblTests[protocole]="T100")*(tblTests[nage]=$F9)*(tblTests[valide]="oui")),2),0))),1),""))</f>
        <v/>
      </c>
      <c r="BF9" s="14">
        <f>IF($A9="","",IFERROR(MAXIFS(tblTests[date],tblTests[id_nageur],$A9,tblTests[protocole],"T100",tblTests[nage],$F9,tblTests[valide],"oui"),""))</f>
        <v/>
      </c>
    </row>
    <row r="10" ht="36" customHeight="1">
      <c r="A10" s="20">
        <f>IFERROR(IF(INDEX(tblNageurs[id],8)="","",INDEX(tblNageurs[id],8)),"")</f>
        <v/>
      </c>
      <c r="B10" s="20">
        <f>IF($A10="","",IFERROR(INDEX(tblNageurs[prenom],8),""))</f>
        <v/>
      </c>
      <c r="C10" s="20">
        <f>IF($A10="","",IFERROR(INDEX(tblNageurs[nom],8),""))</f>
        <v/>
      </c>
      <c r="D10" s="20">
        <f>IF($A10="","",IFERROR(INDEX(tblNageurs[niveau],8),""))</f>
        <v/>
      </c>
      <c r="E10" s="20">
        <f>IF($A10="","",IFERROR(INDEX(tblNageurs[statut],8),""))</f>
        <v/>
      </c>
      <c r="F10" s="20">
        <f>IF($A10="","",IF(OR($H10="dos",$H10="brasse",$H10="papillon"),$H10,"crawl"))</f>
        <v/>
      </c>
      <c r="G10" s="20">
        <f>IF($A10="","",IFERROR(XLOOKUP($A10,tblObjectifs[cle_dashboard],tblObjectifs[discipline],""),""))</f>
        <v/>
      </c>
      <c r="H10" s="20">
        <f>IF($A10="","",IFERROR(XLOOKUP($A10,tblObjectifs[cle_dashboard],tblObjectifs[nage],""),""))</f>
        <v/>
      </c>
      <c r="I10" s="20">
        <f>IF($A10="","",IFERROR(XLOOKUP($A10,tblObjectifs[cle_dashboard],tblObjectifs[distance_m],""),""))</f>
        <v/>
      </c>
      <c r="J10" s="21">
        <f>IF($A10="","",IFERROR(XLOOKUP($A10,tblObjectifs[cle_dashboard],tblObjectifs[date_objectif],""),""))</f>
        <v/>
      </c>
      <c r="K10" s="22">
        <f>IF($A10="","",IFERROR(XLOOKUP($A10,tblObjectifs[cle_dashboard],tblObjectifs[lieu],""),""))</f>
        <v/>
      </c>
      <c r="L10" s="20">
        <f>IF($A10="","",IFERROR(XLOOKUP($A10,tblObjectifs[cle_dashboard],tblObjectifs[temps_cible],""),""))</f>
        <v/>
      </c>
      <c r="M10" s="23">
        <f>IF(OR($A10="",$J10=""),"",($J10-TODAY())/7)</f>
        <v/>
      </c>
      <c r="N10" s="20">
        <f>IF(BA10="","",INT(BA10/60)&amp;":"&amp;TEXT(MOD(BA10,60),"00.00"))</f>
        <v/>
      </c>
      <c r="O10" s="20">
        <f>IF(BB10="","",INT(BB10/60)&amp;":"&amp;TEXT(MOD(BB10,60),"00.00"))</f>
        <v/>
      </c>
      <c r="P10" s="20">
        <f>IF(BC10="","",INT(BC10/60)&amp;":"&amp;TEXT(MOD(BC10,60),"00.00"))</f>
        <v/>
      </c>
      <c r="Q10" s="20">
        <f>IF(BD10="","",INT(BD10/60)&amp;":"&amp;TEXT(MOD(BD10,60),"00.00"))</f>
        <v/>
      </c>
      <c r="R10" s="24">
        <f>IF(OR(BB10="",BE10=""),"",(BB10-BE10)/BE10)</f>
        <v/>
      </c>
      <c r="S10" s="24">
        <f>IF(OR(BA10="",BB10=""),"",BB10/(2*BA10)-1)</f>
        <v/>
      </c>
      <c r="T10" s="24">
        <f>IF(OR(BB10="",BD10=""),"",BD10/(4*BB10)-1)</f>
        <v/>
      </c>
      <c r="U10" s="20">
        <f>IF(OR(BC10="",BD10=""),"",INT(((BD10-BC10)/2)/60)&amp;":"&amp;TEXT(MOD((BD10-BC10)/2,60),"00.00"))</f>
        <v/>
      </c>
      <c r="V10" s="23">
        <f>IF(BB10="","",ROUND(BB10,1))</f>
        <v/>
      </c>
      <c r="W10" s="22">
        <f>IF($A10="","",IFS(BB10="","Pas de T100 valide — Batterie A (T50 + T100).",AND(M10&lt;&gt;"",M10&lt;=3),"Affutage (&lt; 3 sem) — plus de test a fond. Allure de course.",AND(S10&lt;&gt;"",S10&gt;0.1),"Vitesse OK, il casse sur 100 (lactique / pacing / technique).",AND(T10&lt;&gt;"",T10&gt;0.12),"Manque aerobie / seuil — Batterie B (T200+T400) et series CSS.",AND(T10&lt;&gt;"",T10&lt;0.06,S10&lt;&gt;"",S10&lt;0.08),"Profil homogene — specificite d'allure vers la cible.",BA10="","Ajouter un T50 a la prochaine Batterie A.",TRUE,"Profil coherent. Voir consigne_charge pour deload / retest."))</f>
        <v/>
      </c>
      <c r="X10" s="20">
        <f>IF($A10="","",COUNTIFS(tblSeances[id_nageur],$A10,tblSeances[lundi],(TODAY()-WEEKDAY(TODAY(),3)),tblSeances[faite],"oui")&amp;"/"&amp;IFERROR(INDEX(tblNageurs[seances_sem],MATCH($A10,tblNageurs[id],0)),""))</f>
        <v/>
      </c>
      <c r="Y10" s="25">
        <f>IF($A10="","",SUMIFS(tblSeances[volume_m],tblSeances[id_nageur],$A10,tblSeances[lundi],(TODAY()-WEEKDAY(TODAY(),3)),tblSeances[faite],"oui"))</f>
        <v/>
      </c>
      <c r="Z10" s="20">
        <f>IF($A10="","",TEXT(SUMIFS(tblSeances[volume_m],tblSeances[id_nageur],$A10,tblSeances[lundi],(TODAY()-WEEKDAY(TODAY(),3)),tblSeances[faite],"oui"),"0")&amp;" / "&amp;TEXT(SUMIFS(tblSeances[volume_m],tblSeances[id_nageur],$A10,tblSeances[lundi],(TODAY()-WEEKDAY(TODAY(),3))-7,tblSeances[faite],"oui"),"0")&amp;" / "&amp;TEXT(SUMIFS(tblSeances[volume_m],tblSeances[id_nageur],$A10,tblSeances[lundi],(TODAY()-WEEKDAY(TODAY(),3))-14,tblSeances[faite],"oui"),"0"))</f>
        <v/>
      </c>
      <c r="AA10" s="20">
        <f>IF($A10="","",IFERROR(INDEX(FILTER(CHARGE!L$3:L$82,(CHARGE!A$3:A$82=$A10)*(CHARGE!B$3:B$82=(TODAY()-WEEKDAY(TODAY(),3)))),1),""))</f>
        <v/>
      </c>
      <c r="AB10" s="20">
        <f>IF($A10="","",IFERROR(INDEX(FILTER(CHARGE!M$3:M$82,(CHARGE!A$3:A$82=$A10)*(CHARGE!B$3:B$82=(TODAY()-WEEKDAY(TODAY(),3)))),1),""))</f>
        <v/>
      </c>
      <c r="AC10" s="22">
        <f>IF($A10="","",IFERROR(INDEX(FILTER(CHARGE!N$3:N$82,(CHARGE!A$3:A$82=$A10)*(CHARGE!B$3:B$82=(TODAY()-WEEKDAY(TODAY(),3)))),1),""))</f>
        <v/>
      </c>
      <c r="BA10" s="19">
        <f>IF($A10="","",IFERROR(INDEX(FILTER(tblTests[temps_sec],(tblTests[id_nageur]=$A10)*(tblTests[protocole]="T50")*(tblTests[nage]=$F10)*(tblTests[valide]="oui")*(tblTests[date]=MAXIFS(tblTests[date],tblTests[id_nageur],$A10,tblTests[protocole],"T50",tblTests[nage],$F10,tblTests[valide],"oui"))),1),""))</f>
        <v/>
      </c>
      <c r="BB10" s="19">
        <f>IF($A10="","",IFERROR(INDEX(FILTER(tblTests[temps_sec],(tblTests[id_nageur]=$A10)*(tblTests[protocole]="T100")*(tblTests[nage]=$F10)*(tblTests[valide]="oui")*(tblTests[date]=MAXIFS(tblTests[date],tblTests[id_nageur],$A10,tblTests[protocole],"T100",tblTests[nage],$F10,tblTests[valide],"oui"))),1),""))</f>
        <v/>
      </c>
      <c r="BC10" s="19">
        <f>IF($A10="","",IFERROR(INDEX(FILTER(tblTests[temps_sec],(tblTests[id_nageur]=$A10)*(tblTests[protocole]="T200")*(tblTests[nage]=$F10)*(tblTests[valide]="oui")*(tblTests[date]=MAXIFS(tblTests[date],tblTests[id_nageur],$A10,tblTests[protocole],"T200",tblTests[nage],$F10,tblTests[valide],"oui"))),1),""))</f>
        <v/>
      </c>
      <c r="BD10" s="19">
        <f>IF($A10="","",IFERROR(INDEX(FILTER(tblTests[temps_sec],(tblTests[id_nageur]=$A10)*(tblTests[protocole]="T400")*(tblTests[nage]=$F10)*(tblTests[valide]="oui")*(tblTests[date]=MAXIFS(tblTests[date],tblTests[id_nageur],$A10,tblTests[protocole],"T400",tblTests[nage],$F10,tblTests[valide],"oui"))),1),""))</f>
        <v/>
      </c>
      <c r="BE10" s="19">
        <f>IF($A10="","",IFERROR(INDEX(FILTER(tblTests[temps_sec],(tblTests[id_nageur]=$A10)*(tblTests[protocole]="T100")*(tblTests[nage]=$F10)*(tblTests[valide]="oui")*(tblTests[date]=IFERROR(LARGE(FILTER(tblTests[date],(tblTests[id_nageur]=$A10)*(tblTests[protocole]="T100")*(tblTests[nage]=$F10)*(tblTests[valide]="oui")),2),0))),1),""))</f>
        <v/>
      </c>
      <c r="BF10" s="14">
        <f>IF($A10="","",IFERROR(MAXIFS(tblTests[date],tblTests[id_nageur],$A10,tblTests[protocole],"T100",tblTests[nage],$F10,tblTests[valide],"oui"),""))</f>
        <v/>
      </c>
    </row>
    <row r="11" ht="36" customHeight="1">
      <c r="A11" s="13">
        <f>IFERROR(IF(INDEX(tblNageurs[id],9)="","",INDEX(tblNageurs[id],9)),"")</f>
        <v/>
      </c>
      <c r="B11" s="13">
        <f>IF($A11="","",IFERROR(INDEX(tblNageurs[prenom],9),""))</f>
        <v/>
      </c>
      <c r="C11" s="13">
        <f>IF($A11="","",IFERROR(INDEX(tblNageurs[nom],9),""))</f>
        <v/>
      </c>
      <c r="D11" s="13">
        <f>IF($A11="","",IFERROR(INDEX(tblNageurs[niveau],9),""))</f>
        <v/>
      </c>
      <c r="E11" s="13">
        <f>IF($A11="","",IFERROR(INDEX(tblNageurs[statut],9),""))</f>
        <v/>
      </c>
      <c r="F11" s="13">
        <f>IF($A11="","",IF(OR($H11="dos",$H11="brasse",$H11="papillon"),$H11,"crawl"))</f>
        <v/>
      </c>
      <c r="G11" s="13">
        <f>IF($A11="","",IFERROR(XLOOKUP($A11,tblObjectifs[cle_dashboard],tblObjectifs[discipline],""),""))</f>
        <v/>
      </c>
      <c r="H11" s="13">
        <f>IF($A11="","",IFERROR(XLOOKUP($A11,tblObjectifs[cle_dashboard],tblObjectifs[nage],""),""))</f>
        <v/>
      </c>
      <c r="I11" s="13">
        <f>IF($A11="","",IFERROR(XLOOKUP($A11,tblObjectifs[cle_dashboard],tblObjectifs[distance_m],""),""))</f>
        <v/>
      </c>
      <c r="J11" s="14">
        <f>IF($A11="","",IFERROR(XLOOKUP($A11,tblObjectifs[cle_dashboard],tblObjectifs[date_objectif],""),""))</f>
        <v/>
      </c>
      <c r="K11" s="15">
        <f>IF($A11="","",IFERROR(XLOOKUP($A11,tblObjectifs[cle_dashboard],tblObjectifs[lieu],""),""))</f>
        <v/>
      </c>
      <c r="L11" s="13">
        <f>IF($A11="","",IFERROR(XLOOKUP($A11,tblObjectifs[cle_dashboard],tblObjectifs[temps_cible],""),""))</f>
        <v/>
      </c>
      <c r="M11" s="16">
        <f>IF(OR($A11="",$J11=""),"",($J11-TODAY())/7)</f>
        <v/>
      </c>
      <c r="N11" s="13">
        <f>IF(BA11="","",INT(BA11/60)&amp;":"&amp;TEXT(MOD(BA11,60),"00.00"))</f>
        <v/>
      </c>
      <c r="O11" s="13">
        <f>IF(BB11="","",INT(BB11/60)&amp;":"&amp;TEXT(MOD(BB11,60),"00.00"))</f>
        <v/>
      </c>
      <c r="P11" s="13">
        <f>IF(BC11="","",INT(BC11/60)&amp;":"&amp;TEXT(MOD(BC11,60),"00.00"))</f>
        <v/>
      </c>
      <c r="Q11" s="13">
        <f>IF(BD11="","",INT(BD11/60)&amp;":"&amp;TEXT(MOD(BD11,60),"00.00"))</f>
        <v/>
      </c>
      <c r="R11" s="17">
        <f>IF(OR(BB11="",BE11=""),"",(BB11-BE11)/BE11)</f>
        <v/>
      </c>
      <c r="S11" s="17">
        <f>IF(OR(BA11="",BB11=""),"",BB11/(2*BA11)-1)</f>
        <v/>
      </c>
      <c r="T11" s="17">
        <f>IF(OR(BB11="",BD11=""),"",BD11/(4*BB11)-1)</f>
        <v/>
      </c>
      <c r="U11" s="13">
        <f>IF(OR(BC11="",BD11=""),"",INT(((BD11-BC11)/2)/60)&amp;":"&amp;TEXT(MOD((BD11-BC11)/2,60),"00.00"))</f>
        <v/>
      </c>
      <c r="V11" s="16">
        <f>IF(BB11="","",ROUND(BB11,1))</f>
        <v/>
      </c>
      <c r="W11" s="15">
        <f>IF($A11="","",IFS(BB11="","Pas de T100 valide — Batterie A (T50 + T100).",AND(M11&lt;&gt;"",M11&lt;=3),"Affutage (&lt; 3 sem) — plus de test a fond. Allure de course.",AND(S11&lt;&gt;"",S11&gt;0.1),"Vitesse OK, il casse sur 100 (lactique / pacing / technique).",AND(T11&lt;&gt;"",T11&gt;0.12),"Manque aerobie / seuil — Batterie B (T200+T400) et series CSS.",AND(T11&lt;&gt;"",T11&lt;0.06,S11&lt;&gt;"",S11&lt;0.08),"Profil homogene — specificite d'allure vers la cible.",BA11="","Ajouter un T50 a la prochaine Batterie A.",TRUE,"Profil coherent. Voir consigne_charge pour deload / retest."))</f>
        <v/>
      </c>
      <c r="X11" s="13">
        <f>IF($A11="","",COUNTIFS(tblSeances[id_nageur],$A11,tblSeances[lundi],(TODAY()-WEEKDAY(TODAY(),3)),tblSeances[faite],"oui")&amp;"/"&amp;IFERROR(INDEX(tblNageurs[seances_sem],MATCH($A11,tblNageurs[id],0)),""))</f>
        <v/>
      </c>
      <c r="Y11" s="18">
        <f>IF($A11="","",SUMIFS(tblSeances[volume_m],tblSeances[id_nageur],$A11,tblSeances[lundi],(TODAY()-WEEKDAY(TODAY(),3)),tblSeances[faite],"oui"))</f>
        <v/>
      </c>
      <c r="Z11" s="13">
        <f>IF($A11="","",TEXT(SUMIFS(tblSeances[volume_m],tblSeances[id_nageur],$A11,tblSeances[lundi],(TODAY()-WEEKDAY(TODAY(),3)),tblSeances[faite],"oui"),"0")&amp;" / "&amp;TEXT(SUMIFS(tblSeances[volume_m],tblSeances[id_nageur],$A11,tblSeances[lundi],(TODAY()-WEEKDAY(TODAY(),3))-7,tblSeances[faite],"oui"),"0")&amp;" / "&amp;TEXT(SUMIFS(tblSeances[volume_m],tblSeances[id_nageur],$A11,tblSeances[lundi],(TODAY()-WEEKDAY(TODAY(),3))-14,tblSeances[faite],"oui"),"0"))</f>
        <v/>
      </c>
      <c r="AA11" s="13">
        <f>IF($A11="","",IFERROR(INDEX(FILTER(CHARGE!L$3:L$82,(CHARGE!A$3:A$82=$A11)*(CHARGE!B$3:B$82=(TODAY()-WEEKDAY(TODAY(),3)))),1),""))</f>
        <v/>
      </c>
      <c r="AB11" s="13">
        <f>IF($A11="","",IFERROR(INDEX(FILTER(CHARGE!M$3:M$82,(CHARGE!A$3:A$82=$A11)*(CHARGE!B$3:B$82=(TODAY()-WEEKDAY(TODAY(),3)))),1),""))</f>
        <v/>
      </c>
      <c r="AC11" s="15">
        <f>IF($A11="","",IFERROR(INDEX(FILTER(CHARGE!N$3:N$82,(CHARGE!A$3:A$82=$A11)*(CHARGE!B$3:B$82=(TODAY()-WEEKDAY(TODAY(),3)))),1),""))</f>
        <v/>
      </c>
      <c r="BA11" s="19">
        <f>IF($A11="","",IFERROR(INDEX(FILTER(tblTests[temps_sec],(tblTests[id_nageur]=$A11)*(tblTests[protocole]="T50")*(tblTests[nage]=$F11)*(tblTests[valide]="oui")*(tblTests[date]=MAXIFS(tblTests[date],tblTests[id_nageur],$A11,tblTests[protocole],"T50",tblTests[nage],$F11,tblTests[valide],"oui"))),1),""))</f>
        <v/>
      </c>
      <c r="BB11" s="19">
        <f>IF($A11="","",IFERROR(INDEX(FILTER(tblTests[temps_sec],(tblTests[id_nageur]=$A11)*(tblTests[protocole]="T100")*(tblTests[nage]=$F11)*(tblTests[valide]="oui")*(tblTests[date]=MAXIFS(tblTests[date],tblTests[id_nageur],$A11,tblTests[protocole],"T100",tblTests[nage],$F11,tblTests[valide],"oui"))),1),""))</f>
        <v/>
      </c>
      <c r="BC11" s="19">
        <f>IF($A11="","",IFERROR(INDEX(FILTER(tblTests[temps_sec],(tblTests[id_nageur]=$A11)*(tblTests[protocole]="T200")*(tblTests[nage]=$F11)*(tblTests[valide]="oui")*(tblTests[date]=MAXIFS(tblTests[date],tblTests[id_nageur],$A11,tblTests[protocole],"T200",tblTests[nage],$F11,tblTests[valide],"oui"))),1),""))</f>
        <v/>
      </c>
      <c r="BD11" s="19">
        <f>IF($A11="","",IFERROR(INDEX(FILTER(tblTests[temps_sec],(tblTests[id_nageur]=$A11)*(tblTests[protocole]="T400")*(tblTests[nage]=$F11)*(tblTests[valide]="oui")*(tblTests[date]=MAXIFS(tblTests[date],tblTests[id_nageur],$A11,tblTests[protocole],"T400",tblTests[nage],$F11,tblTests[valide],"oui"))),1),""))</f>
        <v/>
      </c>
      <c r="BE11" s="19">
        <f>IF($A11="","",IFERROR(INDEX(FILTER(tblTests[temps_sec],(tblTests[id_nageur]=$A11)*(tblTests[protocole]="T100")*(tblTests[nage]=$F11)*(tblTests[valide]="oui")*(tblTests[date]=IFERROR(LARGE(FILTER(tblTests[date],(tblTests[id_nageur]=$A11)*(tblTests[protocole]="T100")*(tblTests[nage]=$F11)*(tblTests[valide]="oui")),2),0))),1),""))</f>
        <v/>
      </c>
      <c r="BF11" s="14">
        <f>IF($A11="","",IFERROR(MAXIFS(tblTests[date],tblTests[id_nageur],$A11,tblTests[protocole],"T100",tblTests[nage],$F11,tblTests[valide],"oui"),""))</f>
        <v/>
      </c>
    </row>
    <row r="12" ht="36" customHeight="1">
      <c r="A12" s="20">
        <f>IFERROR(IF(INDEX(tblNageurs[id],10)="","",INDEX(tblNageurs[id],10)),"")</f>
        <v/>
      </c>
      <c r="B12" s="20">
        <f>IF($A12="","",IFERROR(INDEX(tblNageurs[prenom],10),""))</f>
        <v/>
      </c>
      <c r="C12" s="20">
        <f>IF($A12="","",IFERROR(INDEX(tblNageurs[nom],10),""))</f>
        <v/>
      </c>
      <c r="D12" s="20">
        <f>IF($A12="","",IFERROR(INDEX(tblNageurs[niveau],10),""))</f>
        <v/>
      </c>
      <c r="E12" s="20">
        <f>IF($A12="","",IFERROR(INDEX(tblNageurs[statut],10),""))</f>
        <v/>
      </c>
      <c r="F12" s="20">
        <f>IF($A12="","",IF(OR($H12="dos",$H12="brasse",$H12="papillon"),$H12,"crawl"))</f>
        <v/>
      </c>
      <c r="G12" s="20">
        <f>IF($A12="","",IFERROR(XLOOKUP($A12,tblObjectifs[cle_dashboard],tblObjectifs[discipline],""),""))</f>
        <v/>
      </c>
      <c r="H12" s="20">
        <f>IF($A12="","",IFERROR(XLOOKUP($A12,tblObjectifs[cle_dashboard],tblObjectifs[nage],""),""))</f>
        <v/>
      </c>
      <c r="I12" s="20">
        <f>IF($A12="","",IFERROR(XLOOKUP($A12,tblObjectifs[cle_dashboard],tblObjectifs[distance_m],""),""))</f>
        <v/>
      </c>
      <c r="J12" s="21">
        <f>IF($A12="","",IFERROR(XLOOKUP($A12,tblObjectifs[cle_dashboard],tblObjectifs[date_objectif],""),""))</f>
        <v/>
      </c>
      <c r="K12" s="22">
        <f>IF($A12="","",IFERROR(XLOOKUP($A12,tblObjectifs[cle_dashboard],tblObjectifs[lieu],""),""))</f>
        <v/>
      </c>
      <c r="L12" s="20">
        <f>IF($A12="","",IFERROR(XLOOKUP($A12,tblObjectifs[cle_dashboard],tblObjectifs[temps_cible],""),""))</f>
        <v/>
      </c>
      <c r="M12" s="23">
        <f>IF(OR($A12="",$J12=""),"",($J12-TODAY())/7)</f>
        <v/>
      </c>
      <c r="N12" s="20">
        <f>IF(BA12="","",INT(BA12/60)&amp;":"&amp;TEXT(MOD(BA12,60),"00.00"))</f>
        <v/>
      </c>
      <c r="O12" s="20">
        <f>IF(BB12="","",INT(BB12/60)&amp;":"&amp;TEXT(MOD(BB12,60),"00.00"))</f>
        <v/>
      </c>
      <c r="P12" s="20">
        <f>IF(BC12="","",INT(BC12/60)&amp;":"&amp;TEXT(MOD(BC12,60),"00.00"))</f>
        <v/>
      </c>
      <c r="Q12" s="20">
        <f>IF(BD12="","",INT(BD12/60)&amp;":"&amp;TEXT(MOD(BD12,60),"00.00"))</f>
        <v/>
      </c>
      <c r="R12" s="24">
        <f>IF(OR(BB12="",BE12=""),"",(BB12-BE12)/BE12)</f>
        <v/>
      </c>
      <c r="S12" s="24">
        <f>IF(OR(BA12="",BB12=""),"",BB12/(2*BA12)-1)</f>
        <v/>
      </c>
      <c r="T12" s="24">
        <f>IF(OR(BB12="",BD12=""),"",BD12/(4*BB12)-1)</f>
        <v/>
      </c>
      <c r="U12" s="20">
        <f>IF(OR(BC12="",BD12=""),"",INT(((BD12-BC12)/2)/60)&amp;":"&amp;TEXT(MOD((BD12-BC12)/2,60),"00.00"))</f>
        <v/>
      </c>
      <c r="V12" s="23">
        <f>IF(BB12="","",ROUND(BB12,1))</f>
        <v/>
      </c>
      <c r="W12" s="22">
        <f>IF($A12="","",IFS(BB12="","Pas de T100 valide — Batterie A (T50 + T100).",AND(M12&lt;&gt;"",M12&lt;=3),"Affutage (&lt; 3 sem) — plus de test a fond. Allure de course.",AND(S12&lt;&gt;"",S12&gt;0.1),"Vitesse OK, il casse sur 100 (lactique / pacing / technique).",AND(T12&lt;&gt;"",T12&gt;0.12),"Manque aerobie / seuil — Batterie B (T200+T400) et series CSS.",AND(T12&lt;&gt;"",T12&lt;0.06,S12&lt;&gt;"",S12&lt;0.08),"Profil homogene — specificite d'allure vers la cible.",BA12="","Ajouter un T50 a la prochaine Batterie A.",TRUE,"Profil coherent. Voir consigne_charge pour deload / retest."))</f>
        <v/>
      </c>
      <c r="X12" s="20">
        <f>IF($A12="","",COUNTIFS(tblSeances[id_nageur],$A12,tblSeances[lundi],(TODAY()-WEEKDAY(TODAY(),3)),tblSeances[faite],"oui")&amp;"/"&amp;IFERROR(INDEX(tblNageurs[seances_sem],MATCH($A12,tblNageurs[id],0)),""))</f>
        <v/>
      </c>
      <c r="Y12" s="25">
        <f>IF($A12="","",SUMIFS(tblSeances[volume_m],tblSeances[id_nageur],$A12,tblSeances[lundi],(TODAY()-WEEKDAY(TODAY(),3)),tblSeances[faite],"oui"))</f>
        <v/>
      </c>
      <c r="Z12" s="20">
        <f>IF($A12="","",TEXT(SUMIFS(tblSeances[volume_m],tblSeances[id_nageur],$A12,tblSeances[lundi],(TODAY()-WEEKDAY(TODAY(),3)),tblSeances[faite],"oui"),"0")&amp;" / "&amp;TEXT(SUMIFS(tblSeances[volume_m],tblSeances[id_nageur],$A12,tblSeances[lundi],(TODAY()-WEEKDAY(TODAY(),3))-7,tblSeances[faite],"oui"),"0")&amp;" / "&amp;TEXT(SUMIFS(tblSeances[volume_m],tblSeances[id_nageur],$A12,tblSeances[lundi],(TODAY()-WEEKDAY(TODAY(),3))-14,tblSeances[faite],"oui"),"0"))</f>
        <v/>
      </c>
      <c r="AA12" s="20">
        <f>IF($A12="","",IFERROR(INDEX(FILTER(CHARGE!L$3:L$82,(CHARGE!A$3:A$82=$A12)*(CHARGE!B$3:B$82=(TODAY()-WEEKDAY(TODAY(),3)))),1),""))</f>
        <v/>
      </c>
      <c r="AB12" s="20">
        <f>IF($A12="","",IFERROR(INDEX(FILTER(CHARGE!M$3:M$82,(CHARGE!A$3:A$82=$A12)*(CHARGE!B$3:B$82=(TODAY()-WEEKDAY(TODAY(),3)))),1),""))</f>
        <v/>
      </c>
      <c r="AC12" s="22">
        <f>IF($A12="","",IFERROR(INDEX(FILTER(CHARGE!N$3:N$82,(CHARGE!A$3:A$82=$A12)*(CHARGE!B$3:B$82=(TODAY()-WEEKDAY(TODAY(),3)))),1),""))</f>
        <v/>
      </c>
      <c r="BA12" s="19">
        <f>IF($A12="","",IFERROR(INDEX(FILTER(tblTests[temps_sec],(tblTests[id_nageur]=$A12)*(tblTests[protocole]="T50")*(tblTests[nage]=$F12)*(tblTests[valide]="oui")*(tblTests[date]=MAXIFS(tblTests[date],tblTests[id_nageur],$A12,tblTests[protocole],"T50",tblTests[nage],$F12,tblTests[valide],"oui"))),1),""))</f>
        <v/>
      </c>
      <c r="BB12" s="19">
        <f>IF($A12="","",IFERROR(INDEX(FILTER(tblTests[temps_sec],(tblTests[id_nageur]=$A12)*(tblTests[protocole]="T100")*(tblTests[nage]=$F12)*(tblTests[valide]="oui")*(tblTests[date]=MAXIFS(tblTests[date],tblTests[id_nageur],$A12,tblTests[protocole],"T100",tblTests[nage],$F12,tblTests[valide],"oui"))),1),""))</f>
        <v/>
      </c>
      <c r="BC12" s="19">
        <f>IF($A12="","",IFERROR(INDEX(FILTER(tblTests[temps_sec],(tblTests[id_nageur]=$A12)*(tblTests[protocole]="T200")*(tblTests[nage]=$F12)*(tblTests[valide]="oui")*(tblTests[date]=MAXIFS(tblTests[date],tblTests[id_nageur],$A12,tblTests[protocole],"T200",tblTests[nage],$F12,tblTests[valide],"oui"))),1),""))</f>
        <v/>
      </c>
      <c r="BD12" s="19">
        <f>IF($A12="","",IFERROR(INDEX(FILTER(tblTests[temps_sec],(tblTests[id_nageur]=$A12)*(tblTests[protocole]="T400")*(tblTests[nage]=$F12)*(tblTests[valide]="oui")*(tblTests[date]=MAXIFS(tblTests[date],tblTests[id_nageur],$A12,tblTests[protocole],"T400",tblTests[nage],$F12,tblTests[valide],"oui"))),1),""))</f>
        <v/>
      </c>
      <c r="BE12" s="19">
        <f>IF($A12="","",IFERROR(INDEX(FILTER(tblTests[temps_sec],(tblTests[id_nageur]=$A12)*(tblTests[protocole]="T100")*(tblTests[nage]=$F12)*(tblTests[valide]="oui")*(tblTests[date]=IFERROR(LARGE(FILTER(tblTests[date],(tblTests[id_nageur]=$A12)*(tblTests[protocole]="T100")*(tblTests[nage]=$F12)*(tblTests[valide]="oui")),2),0))),1),""))</f>
        <v/>
      </c>
      <c r="BF12" s="14">
        <f>IF($A12="","",IFERROR(MAXIFS(tblTests[date],tblTests[id_nageur],$A12,tblTests[protocole],"T100",tblTests[nage],$F12,tblTests[valide],"oui"),""))</f>
        <v/>
      </c>
    </row>
    <row r="13" ht="36" customHeight="1">
      <c r="A13" s="13">
        <f>IFERROR(IF(INDEX(tblNageurs[id],11)="","",INDEX(tblNageurs[id],11)),"")</f>
        <v/>
      </c>
      <c r="B13" s="13">
        <f>IF($A13="","",IFERROR(INDEX(tblNageurs[prenom],11),""))</f>
        <v/>
      </c>
      <c r="C13" s="13">
        <f>IF($A13="","",IFERROR(INDEX(tblNageurs[nom],11),""))</f>
        <v/>
      </c>
      <c r="D13" s="13">
        <f>IF($A13="","",IFERROR(INDEX(tblNageurs[niveau],11),""))</f>
        <v/>
      </c>
      <c r="E13" s="13">
        <f>IF($A13="","",IFERROR(INDEX(tblNageurs[statut],11),""))</f>
        <v/>
      </c>
      <c r="F13" s="13">
        <f>IF($A13="","",IF(OR($H13="dos",$H13="brasse",$H13="papillon"),$H13,"crawl"))</f>
        <v/>
      </c>
      <c r="G13" s="13">
        <f>IF($A13="","",IFERROR(XLOOKUP($A13,tblObjectifs[cle_dashboard],tblObjectifs[discipline],""),""))</f>
        <v/>
      </c>
      <c r="H13" s="13">
        <f>IF($A13="","",IFERROR(XLOOKUP($A13,tblObjectifs[cle_dashboard],tblObjectifs[nage],""),""))</f>
        <v/>
      </c>
      <c r="I13" s="13">
        <f>IF($A13="","",IFERROR(XLOOKUP($A13,tblObjectifs[cle_dashboard],tblObjectifs[distance_m],""),""))</f>
        <v/>
      </c>
      <c r="J13" s="14">
        <f>IF($A13="","",IFERROR(XLOOKUP($A13,tblObjectifs[cle_dashboard],tblObjectifs[date_objectif],""),""))</f>
        <v/>
      </c>
      <c r="K13" s="15">
        <f>IF($A13="","",IFERROR(XLOOKUP($A13,tblObjectifs[cle_dashboard],tblObjectifs[lieu],""),""))</f>
        <v/>
      </c>
      <c r="L13" s="13">
        <f>IF($A13="","",IFERROR(XLOOKUP($A13,tblObjectifs[cle_dashboard],tblObjectifs[temps_cible],""),""))</f>
        <v/>
      </c>
      <c r="M13" s="16">
        <f>IF(OR($A13="",$J13=""),"",($J13-TODAY())/7)</f>
        <v/>
      </c>
      <c r="N13" s="13">
        <f>IF(BA13="","",INT(BA13/60)&amp;":"&amp;TEXT(MOD(BA13,60),"00.00"))</f>
        <v/>
      </c>
      <c r="O13" s="13">
        <f>IF(BB13="","",INT(BB13/60)&amp;":"&amp;TEXT(MOD(BB13,60),"00.00"))</f>
        <v/>
      </c>
      <c r="P13" s="13">
        <f>IF(BC13="","",INT(BC13/60)&amp;":"&amp;TEXT(MOD(BC13,60),"00.00"))</f>
        <v/>
      </c>
      <c r="Q13" s="13">
        <f>IF(BD13="","",INT(BD13/60)&amp;":"&amp;TEXT(MOD(BD13,60),"00.00"))</f>
        <v/>
      </c>
      <c r="R13" s="17">
        <f>IF(OR(BB13="",BE13=""),"",(BB13-BE13)/BE13)</f>
        <v/>
      </c>
      <c r="S13" s="17">
        <f>IF(OR(BA13="",BB13=""),"",BB13/(2*BA13)-1)</f>
        <v/>
      </c>
      <c r="T13" s="17">
        <f>IF(OR(BB13="",BD13=""),"",BD13/(4*BB13)-1)</f>
        <v/>
      </c>
      <c r="U13" s="13">
        <f>IF(OR(BC13="",BD13=""),"",INT(((BD13-BC13)/2)/60)&amp;":"&amp;TEXT(MOD((BD13-BC13)/2,60),"00.00"))</f>
        <v/>
      </c>
      <c r="V13" s="16">
        <f>IF(BB13="","",ROUND(BB13,1))</f>
        <v/>
      </c>
      <c r="W13" s="15">
        <f>IF($A13="","",IFS(BB13="","Pas de T100 valide — Batterie A (T50 + T100).",AND(M13&lt;&gt;"",M13&lt;=3),"Affutage (&lt; 3 sem) — plus de test a fond. Allure de course.",AND(S13&lt;&gt;"",S13&gt;0.1),"Vitesse OK, il casse sur 100 (lactique / pacing / technique).",AND(T13&lt;&gt;"",T13&gt;0.12),"Manque aerobie / seuil — Batterie B (T200+T400) et series CSS.",AND(T13&lt;&gt;"",T13&lt;0.06,S13&lt;&gt;"",S13&lt;0.08),"Profil homogene — specificite d'allure vers la cible.",BA13="","Ajouter un T50 a la prochaine Batterie A.",TRUE,"Profil coherent. Voir consigne_charge pour deload / retest."))</f>
        <v/>
      </c>
      <c r="X13" s="13">
        <f>IF($A13="","",COUNTIFS(tblSeances[id_nageur],$A13,tblSeances[lundi],(TODAY()-WEEKDAY(TODAY(),3)),tblSeances[faite],"oui")&amp;"/"&amp;IFERROR(INDEX(tblNageurs[seances_sem],MATCH($A13,tblNageurs[id],0)),""))</f>
        <v/>
      </c>
      <c r="Y13" s="18">
        <f>IF($A13="","",SUMIFS(tblSeances[volume_m],tblSeances[id_nageur],$A13,tblSeances[lundi],(TODAY()-WEEKDAY(TODAY(),3)),tblSeances[faite],"oui"))</f>
        <v/>
      </c>
      <c r="Z13" s="13">
        <f>IF($A13="","",TEXT(SUMIFS(tblSeances[volume_m],tblSeances[id_nageur],$A13,tblSeances[lundi],(TODAY()-WEEKDAY(TODAY(),3)),tblSeances[faite],"oui"),"0")&amp;" / "&amp;TEXT(SUMIFS(tblSeances[volume_m],tblSeances[id_nageur],$A13,tblSeances[lundi],(TODAY()-WEEKDAY(TODAY(),3))-7,tblSeances[faite],"oui"),"0")&amp;" / "&amp;TEXT(SUMIFS(tblSeances[volume_m],tblSeances[id_nageur],$A13,tblSeances[lundi],(TODAY()-WEEKDAY(TODAY(),3))-14,tblSeances[faite],"oui"),"0"))</f>
        <v/>
      </c>
      <c r="AA13" s="13">
        <f>IF($A13="","",IFERROR(INDEX(FILTER(CHARGE!L$3:L$82,(CHARGE!A$3:A$82=$A13)*(CHARGE!B$3:B$82=(TODAY()-WEEKDAY(TODAY(),3)))),1),""))</f>
        <v/>
      </c>
      <c r="AB13" s="13">
        <f>IF($A13="","",IFERROR(INDEX(FILTER(CHARGE!M$3:M$82,(CHARGE!A$3:A$82=$A13)*(CHARGE!B$3:B$82=(TODAY()-WEEKDAY(TODAY(),3)))),1),""))</f>
        <v/>
      </c>
      <c r="AC13" s="15">
        <f>IF($A13="","",IFERROR(INDEX(FILTER(CHARGE!N$3:N$82,(CHARGE!A$3:A$82=$A13)*(CHARGE!B$3:B$82=(TODAY()-WEEKDAY(TODAY(),3)))),1),""))</f>
        <v/>
      </c>
      <c r="BA13" s="19">
        <f>IF($A13="","",IFERROR(INDEX(FILTER(tblTests[temps_sec],(tblTests[id_nageur]=$A13)*(tblTests[protocole]="T50")*(tblTests[nage]=$F13)*(tblTests[valide]="oui")*(tblTests[date]=MAXIFS(tblTests[date],tblTests[id_nageur],$A13,tblTests[protocole],"T50",tblTests[nage],$F13,tblTests[valide],"oui"))),1),""))</f>
        <v/>
      </c>
      <c r="BB13" s="19">
        <f>IF($A13="","",IFERROR(INDEX(FILTER(tblTests[temps_sec],(tblTests[id_nageur]=$A13)*(tblTests[protocole]="T100")*(tblTests[nage]=$F13)*(tblTests[valide]="oui")*(tblTests[date]=MAXIFS(tblTests[date],tblTests[id_nageur],$A13,tblTests[protocole],"T100",tblTests[nage],$F13,tblTests[valide],"oui"))),1),""))</f>
        <v/>
      </c>
      <c r="BC13" s="19">
        <f>IF($A13="","",IFERROR(INDEX(FILTER(tblTests[temps_sec],(tblTests[id_nageur]=$A13)*(tblTests[protocole]="T200")*(tblTests[nage]=$F13)*(tblTests[valide]="oui")*(tblTests[date]=MAXIFS(tblTests[date],tblTests[id_nageur],$A13,tblTests[protocole],"T200",tblTests[nage],$F13,tblTests[valide],"oui"))),1),""))</f>
        <v/>
      </c>
      <c r="BD13" s="19">
        <f>IF($A13="","",IFERROR(INDEX(FILTER(tblTests[temps_sec],(tblTests[id_nageur]=$A13)*(tblTests[protocole]="T400")*(tblTests[nage]=$F13)*(tblTests[valide]="oui")*(tblTests[date]=MAXIFS(tblTests[date],tblTests[id_nageur],$A13,tblTests[protocole],"T400",tblTests[nage],$F13,tblTests[valide],"oui"))),1),""))</f>
        <v/>
      </c>
      <c r="BE13" s="19">
        <f>IF($A13="","",IFERROR(INDEX(FILTER(tblTests[temps_sec],(tblTests[id_nageur]=$A13)*(tblTests[protocole]="T100")*(tblTests[nage]=$F13)*(tblTests[valide]="oui")*(tblTests[date]=IFERROR(LARGE(FILTER(tblTests[date],(tblTests[id_nageur]=$A13)*(tblTests[protocole]="T100")*(tblTests[nage]=$F13)*(tblTests[valide]="oui")),2),0))),1),""))</f>
        <v/>
      </c>
      <c r="BF13" s="14">
        <f>IF($A13="","",IFERROR(MAXIFS(tblTests[date],tblTests[id_nageur],$A13,tblTests[protocole],"T100",tblTests[nage],$F13,tblTests[valide],"oui"),""))</f>
        <v/>
      </c>
    </row>
    <row r="14" ht="36" customHeight="1">
      <c r="A14" s="20">
        <f>IFERROR(IF(INDEX(tblNageurs[id],12)="","",INDEX(tblNageurs[id],12)),"")</f>
        <v/>
      </c>
      <c r="B14" s="20">
        <f>IF($A14="","",IFERROR(INDEX(tblNageurs[prenom],12),""))</f>
        <v/>
      </c>
      <c r="C14" s="20">
        <f>IF($A14="","",IFERROR(INDEX(tblNageurs[nom],12),""))</f>
        <v/>
      </c>
      <c r="D14" s="20">
        <f>IF($A14="","",IFERROR(INDEX(tblNageurs[niveau],12),""))</f>
        <v/>
      </c>
      <c r="E14" s="20">
        <f>IF($A14="","",IFERROR(INDEX(tblNageurs[statut],12),""))</f>
        <v/>
      </c>
      <c r="F14" s="20">
        <f>IF($A14="","",IF(OR($H14="dos",$H14="brasse",$H14="papillon"),$H14,"crawl"))</f>
        <v/>
      </c>
      <c r="G14" s="20">
        <f>IF($A14="","",IFERROR(XLOOKUP($A14,tblObjectifs[cle_dashboard],tblObjectifs[discipline],""),""))</f>
        <v/>
      </c>
      <c r="H14" s="20">
        <f>IF($A14="","",IFERROR(XLOOKUP($A14,tblObjectifs[cle_dashboard],tblObjectifs[nage],""),""))</f>
        <v/>
      </c>
      <c r="I14" s="20">
        <f>IF($A14="","",IFERROR(XLOOKUP($A14,tblObjectifs[cle_dashboard],tblObjectifs[distance_m],""),""))</f>
        <v/>
      </c>
      <c r="J14" s="21">
        <f>IF($A14="","",IFERROR(XLOOKUP($A14,tblObjectifs[cle_dashboard],tblObjectifs[date_objectif],""),""))</f>
        <v/>
      </c>
      <c r="K14" s="22">
        <f>IF($A14="","",IFERROR(XLOOKUP($A14,tblObjectifs[cle_dashboard],tblObjectifs[lieu],""),""))</f>
        <v/>
      </c>
      <c r="L14" s="20">
        <f>IF($A14="","",IFERROR(XLOOKUP($A14,tblObjectifs[cle_dashboard],tblObjectifs[temps_cible],""),""))</f>
        <v/>
      </c>
      <c r="M14" s="23">
        <f>IF(OR($A14="",$J14=""),"",($J14-TODAY())/7)</f>
        <v/>
      </c>
      <c r="N14" s="20">
        <f>IF(BA14="","",INT(BA14/60)&amp;":"&amp;TEXT(MOD(BA14,60),"00.00"))</f>
        <v/>
      </c>
      <c r="O14" s="20">
        <f>IF(BB14="","",INT(BB14/60)&amp;":"&amp;TEXT(MOD(BB14,60),"00.00"))</f>
        <v/>
      </c>
      <c r="P14" s="20">
        <f>IF(BC14="","",INT(BC14/60)&amp;":"&amp;TEXT(MOD(BC14,60),"00.00"))</f>
        <v/>
      </c>
      <c r="Q14" s="20">
        <f>IF(BD14="","",INT(BD14/60)&amp;":"&amp;TEXT(MOD(BD14,60),"00.00"))</f>
        <v/>
      </c>
      <c r="R14" s="24">
        <f>IF(OR(BB14="",BE14=""),"",(BB14-BE14)/BE14)</f>
        <v/>
      </c>
      <c r="S14" s="24">
        <f>IF(OR(BA14="",BB14=""),"",BB14/(2*BA14)-1)</f>
        <v/>
      </c>
      <c r="T14" s="24">
        <f>IF(OR(BB14="",BD14=""),"",BD14/(4*BB14)-1)</f>
        <v/>
      </c>
      <c r="U14" s="20">
        <f>IF(OR(BC14="",BD14=""),"",INT(((BD14-BC14)/2)/60)&amp;":"&amp;TEXT(MOD((BD14-BC14)/2,60),"00.00"))</f>
        <v/>
      </c>
      <c r="V14" s="23">
        <f>IF(BB14="","",ROUND(BB14,1))</f>
        <v/>
      </c>
      <c r="W14" s="22">
        <f>IF($A14="","",IFS(BB14="","Pas de T100 valide — Batterie A (T50 + T100).",AND(M14&lt;&gt;"",M14&lt;=3),"Affutage (&lt; 3 sem) — plus de test a fond. Allure de course.",AND(S14&lt;&gt;"",S14&gt;0.1),"Vitesse OK, il casse sur 100 (lactique / pacing / technique).",AND(T14&lt;&gt;"",T14&gt;0.12),"Manque aerobie / seuil — Batterie B (T200+T400) et series CSS.",AND(T14&lt;&gt;"",T14&lt;0.06,S14&lt;&gt;"",S14&lt;0.08),"Profil homogene — specificite d'allure vers la cible.",BA14="","Ajouter un T50 a la prochaine Batterie A.",TRUE,"Profil coherent. Voir consigne_charge pour deload / retest."))</f>
        <v/>
      </c>
      <c r="X14" s="20">
        <f>IF($A14="","",COUNTIFS(tblSeances[id_nageur],$A14,tblSeances[lundi],(TODAY()-WEEKDAY(TODAY(),3)),tblSeances[faite],"oui")&amp;"/"&amp;IFERROR(INDEX(tblNageurs[seances_sem],MATCH($A14,tblNageurs[id],0)),""))</f>
        <v/>
      </c>
      <c r="Y14" s="25">
        <f>IF($A14="","",SUMIFS(tblSeances[volume_m],tblSeances[id_nageur],$A14,tblSeances[lundi],(TODAY()-WEEKDAY(TODAY(),3)),tblSeances[faite],"oui"))</f>
        <v/>
      </c>
      <c r="Z14" s="20">
        <f>IF($A14="","",TEXT(SUMIFS(tblSeances[volume_m],tblSeances[id_nageur],$A14,tblSeances[lundi],(TODAY()-WEEKDAY(TODAY(),3)),tblSeances[faite],"oui"),"0")&amp;" / "&amp;TEXT(SUMIFS(tblSeances[volume_m],tblSeances[id_nageur],$A14,tblSeances[lundi],(TODAY()-WEEKDAY(TODAY(),3))-7,tblSeances[faite],"oui"),"0")&amp;" / "&amp;TEXT(SUMIFS(tblSeances[volume_m],tblSeances[id_nageur],$A14,tblSeances[lundi],(TODAY()-WEEKDAY(TODAY(),3))-14,tblSeances[faite],"oui"),"0"))</f>
        <v/>
      </c>
      <c r="AA14" s="20">
        <f>IF($A14="","",IFERROR(INDEX(FILTER(CHARGE!L$3:L$82,(CHARGE!A$3:A$82=$A14)*(CHARGE!B$3:B$82=(TODAY()-WEEKDAY(TODAY(),3)))),1),""))</f>
        <v/>
      </c>
      <c r="AB14" s="20">
        <f>IF($A14="","",IFERROR(INDEX(FILTER(CHARGE!M$3:M$82,(CHARGE!A$3:A$82=$A14)*(CHARGE!B$3:B$82=(TODAY()-WEEKDAY(TODAY(),3)))),1),""))</f>
        <v/>
      </c>
      <c r="AC14" s="22">
        <f>IF($A14="","",IFERROR(INDEX(FILTER(CHARGE!N$3:N$82,(CHARGE!A$3:A$82=$A14)*(CHARGE!B$3:B$82=(TODAY()-WEEKDAY(TODAY(),3)))),1),""))</f>
        <v/>
      </c>
      <c r="BA14" s="19">
        <f>IF($A14="","",IFERROR(INDEX(FILTER(tblTests[temps_sec],(tblTests[id_nageur]=$A14)*(tblTests[protocole]="T50")*(tblTests[nage]=$F14)*(tblTests[valide]="oui")*(tblTests[date]=MAXIFS(tblTests[date],tblTests[id_nageur],$A14,tblTests[protocole],"T50",tblTests[nage],$F14,tblTests[valide],"oui"))),1),""))</f>
        <v/>
      </c>
      <c r="BB14" s="19">
        <f>IF($A14="","",IFERROR(INDEX(FILTER(tblTests[temps_sec],(tblTests[id_nageur]=$A14)*(tblTests[protocole]="T100")*(tblTests[nage]=$F14)*(tblTests[valide]="oui")*(tblTests[date]=MAXIFS(tblTests[date],tblTests[id_nageur],$A14,tblTests[protocole],"T100",tblTests[nage],$F14,tblTests[valide],"oui"))),1),""))</f>
        <v/>
      </c>
      <c r="BC14" s="19">
        <f>IF($A14="","",IFERROR(INDEX(FILTER(tblTests[temps_sec],(tblTests[id_nageur]=$A14)*(tblTests[protocole]="T200")*(tblTests[nage]=$F14)*(tblTests[valide]="oui")*(tblTests[date]=MAXIFS(tblTests[date],tblTests[id_nageur],$A14,tblTests[protocole],"T200",tblTests[nage],$F14,tblTests[valide],"oui"))),1),""))</f>
        <v/>
      </c>
      <c r="BD14" s="19">
        <f>IF($A14="","",IFERROR(INDEX(FILTER(tblTests[temps_sec],(tblTests[id_nageur]=$A14)*(tblTests[protocole]="T400")*(tblTests[nage]=$F14)*(tblTests[valide]="oui")*(tblTests[date]=MAXIFS(tblTests[date],tblTests[id_nageur],$A14,tblTests[protocole],"T400",tblTests[nage],$F14,tblTests[valide],"oui"))),1),""))</f>
        <v/>
      </c>
      <c r="BE14" s="19">
        <f>IF($A14="","",IFERROR(INDEX(FILTER(tblTests[temps_sec],(tblTests[id_nageur]=$A14)*(tblTests[protocole]="T100")*(tblTests[nage]=$F14)*(tblTests[valide]="oui")*(tblTests[date]=IFERROR(LARGE(FILTER(tblTests[date],(tblTests[id_nageur]=$A14)*(tblTests[protocole]="T100")*(tblTests[nage]=$F14)*(tblTests[valide]="oui")),2),0))),1),""))</f>
        <v/>
      </c>
      <c r="BF14" s="14">
        <f>IF($A14="","",IFERROR(MAXIFS(tblTests[date],tblTests[id_nageur],$A14,tblTests[protocole],"T100",tblTests[nage],$F14,tblTests[valide],"oui"),""))</f>
        <v/>
      </c>
    </row>
    <row r="15" ht="36" customHeight="1">
      <c r="A15" s="13">
        <f>IFERROR(IF(INDEX(tblNageurs[id],13)="","",INDEX(tblNageurs[id],13)),"")</f>
        <v/>
      </c>
      <c r="B15" s="13">
        <f>IF($A15="","",IFERROR(INDEX(tblNageurs[prenom],13),""))</f>
        <v/>
      </c>
      <c r="C15" s="13">
        <f>IF($A15="","",IFERROR(INDEX(tblNageurs[nom],13),""))</f>
        <v/>
      </c>
      <c r="D15" s="13">
        <f>IF($A15="","",IFERROR(INDEX(tblNageurs[niveau],13),""))</f>
        <v/>
      </c>
      <c r="E15" s="13">
        <f>IF($A15="","",IFERROR(INDEX(tblNageurs[statut],13),""))</f>
        <v/>
      </c>
      <c r="F15" s="13">
        <f>IF($A15="","",IF(OR($H15="dos",$H15="brasse",$H15="papillon"),$H15,"crawl"))</f>
        <v/>
      </c>
      <c r="G15" s="13">
        <f>IF($A15="","",IFERROR(XLOOKUP($A15,tblObjectifs[cle_dashboard],tblObjectifs[discipline],""),""))</f>
        <v/>
      </c>
      <c r="H15" s="13">
        <f>IF($A15="","",IFERROR(XLOOKUP($A15,tblObjectifs[cle_dashboard],tblObjectifs[nage],""),""))</f>
        <v/>
      </c>
      <c r="I15" s="13">
        <f>IF($A15="","",IFERROR(XLOOKUP($A15,tblObjectifs[cle_dashboard],tblObjectifs[distance_m],""),""))</f>
        <v/>
      </c>
      <c r="J15" s="14">
        <f>IF($A15="","",IFERROR(XLOOKUP($A15,tblObjectifs[cle_dashboard],tblObjectifs[date_objectif],""),""))</f>
        <v/>
      </c>
      <c r="K15" s="15">
        <f>IF($A15="","",IFERROR(XLOOKUP($A15,tblObjectifs[cle_dashboard],tblObjectifs[lieu],""),""))</f>
        <v/>
      </c>
      <c r="L15" s="13">
        <f>IF($A15="","",IFERROR(XLOOKUP($A15,tblObjectifs[cle_dashboard],tblObjectifs[temps_cible],""),""))</f>
        <v/>
      </c>
      <c r="M15" s="16">
        <f>IF(OR($A15="",$J15=""),"",($J15-TODAY())/7)</f>
        <v/>
      </c>
      <c r="N15" s="13">
        <f>IF(BA15="","",INT(BA15/60)&amp;":"&amp;TEXT(MOD(BA15,60),"00.00"))</f>
        <v/>
      </c>
      <c r="O15" s="13">
        <f>IF(BB15="","",INT(BB15/60)&amp;":"&amp;TEXT(MOD(BB15,60),"00.00"))</f>
        <v/>
      </c>
      <c r="P15" s="13">
        <f>IF(BC15="","",INT(BC15/60)&amp;":"&amp;TEXT(MOD(BC15,60),"00.00"))</f>
        <v/>
      </c>
      <c r="Q15" s="13">
        <f>IF(BD15="","",INT(BD15/60)&amp;":"&amp;TEXT(MOD(BD15,60),"00.00"))</f>
        <v/>
      </c>
      <c r="R15" s="17">
        <f>IF(OR(BB15="",BE15=""),"",(BB15-BE15)/BE15)</f>
        <v/>
      </c>
      <c r="S15" s="17">
        <f>IF(OR(BA15="",BB15=""),"",BB15/(2*BA15)-1)</f>
        <v/>
      </c>
      <c r="T15" s="17">
        <f>IF(OR(BB15="",BD15=""),"",BD15/(4*BB15)-1)</f>
        <v/>
      </c>
      <c r="U15" s="13">
        <f>IF(OR(BC15="",BD15=""),"",INT(((BD15-BC15)/2)/60)&amp;":"&amp;TEXT(MOD((BD15-BC15)/2,60),"00.00"))</f>
        <v/>
      </c>
      <c r="V15" s="16">
        <f>IF(BB15="","",ROUND(BB15,1))</f>
        <v/>
      </c>
      <c r="W15" s="15">
        <f>IF($A15="","",IFS(BB15="","Pas de T100 valide — Batterie A (T50 + T100).",AND(M15&lt;&gt;"",M15&lt;=3),"Affutage (&lt; 3 sem) — plus de test a fond. Allure de course.",AND(S15&lt;&gt;"",S15&gt;0.1),"Vitesse OK, il casse sur 100 (lactique / pacing / technique).",AND(T15&lt;&gt;"",T15&gt;0.12),"Manque aerobie / seuil — Batterie B (T200+T400) et series CSS.",AND(T15&lt;&gt;"",T15&lt;0.06,S15&lt;&gt;"",S15&lt;0.08),"Profil homogene — specificite d'allure vers la cible.",BA15="","Ajouter un T50 a la prochaine Batterie A.",TRUE,"Profil coherent. Voir consigne_charge pour deload / retest."))</f>
        <v/>
      </c>
      <c r="X15" s="13">
        <f>IF($A15="","",COUNTIFS(tblSeances[id_nageur],$A15,tblSeances[lundi],(TODAY()-WEEKDAY(TODAY(),3)),tblSeances[faite],"oui")&amp;"/"&amp;IFERROR(INDEX(tblNageurs[seances_sem],MATCH($A15,tblNageurs[id],0)),""))</f>
        <v/>
      </c>
      <c r="Y15" s="18">
        <f>IF($A15="","",SUMIFS(tblSeances[volume_m],tblSeances[id_nageur],$A15,tblSeances[lundi],(TODAY()-WEEKDAY(TODAY(),3)),tblSeances[faite],"oui"))</f>
        <v/>
      </c>
      <c r="Z15" s="13">
        <f>IF($A15="","",TEXT(SUMIFS(tblSeances[volume_m],tblSeances[id_nageur],$A15,tblSeances[lundi],(TODAY()-WEEKDAY(TODAY(),3)),tblSeances[faite],"oui"),"0")&amp;" / "&amp;TEXT(SUMIFS(tblSeances[volume_m],tblSeances[id_nageur],$A15,tblSeances[lundi],(TODAY()-WEEKDAY(TODAY(),3))-7,tblSeances[faite],"oui"),"0")&amp;" / "&amp;TEXT(SUMIFS(tblSeances[volume_m],tblSeances[id_nageur],$A15,tblSeances[lundi],(TODAY()-WEEKDAY(TODAY(),3))-14,tblSeances[faite],"oui"),"0"))</f>
        <v/>
      </c>
      <c r="AA15" s="13">
        <f>IF($A15="","",IFERROR(INDEX(FILTER(CHARGE!L$3:L$82,(CHARGE!A$3:A$82=$A15)*(CHARGE!B$3:B$82=(TODAY()-WEEKDAY(TODAY(),3)))),1),""))</f>
        <v/>
      </c>
      <c r="AB15" s="13">
        <f>IF($A15="","",IFERROR(INDEX(FILTER(CHARGE!M$3:M$82,(CHARGE!A$3:A$82=$A15)*(CHARGE!B$3:B$82=(TODAY()-WEEKDAY(TODAY(),3)))),1),""))</f>
        <v/>
      </c>
      <c r="AC15" s="15">
        <f>IF($A15="","",IFERROR(INDEX(FILTER(CHARGE!N$3:N$82,(CHARGE!A$3:A$82=$A15)*(CHARGE!B$3:B$82=(TODAY()-WEEKDAY(TODAY(),3)))),1),""))</f>
        <v/>
      </c>
      <c r="BA15" s="19">
        <f>IF($A15="","",IFERROR(INDEX(FILTER(tblTests[temps_sec],(tblTests[id_nageur]=$A15)*(tblTests[protocole]="T50")*(tblTests[nage]=$F15)*(tblTests[valide]="oui")*(tblTests[date]=MAXIFS(tblTests[date],tblTests[id_nageur],$A15,tblTests[protocole],"T50",tblTests[nage],$F15,tblTests[valide],"oui"))),1),""))</f>
        <v/>
      </c>
      <c r="BB15" s="19">
        <f>IF($A15="","",IFERROR(INDEX(FILTER(tblTests[temps_sec],(tblTests[id_nageur]=$A15)*(tblTests[protocole]="T100")*(tblTests[nage]=$F15)*(tblTests[valide]="oui")*(tblTests[date]=MAXIFS(tblTests[date],tblTests[id_nageur],$A15,tblTests[protocole],"T100",tblTests[nage],$F15,tblTests[valide],"oui"))),1),""))</f>
        <v/>
      </c>
      <c r="BC15" s="19">
        <f>IF($A15="","",IFERROR(INDEX(FILTER(tblTests[temps_sec],(tblTests[id_nageur]=$A15)*(tblTests[protocole]="T200")*(tblTests[nage]=$F15)*(tblTests[valide]="oui")*(tblTests[date]=MAXIFS(tblTests[date],tblTests[id_nageur],$A15,tblTests[protocole],"T200",tblTests[nage],$F15,tblTests[valide],"oui"))),1),""))</f>
        <v/>
      </c>
      <c r="BD15" s="19">
        <f>IF($A15="","",IFERROR(INDEX(FILTER(tblTests[temps_sec],(tblTests[id_nageur]=$A15)*(tblTests[protocole]="T400")*(tblTests[nage]=$F15)*(tblTests[valide]="oui")*(tblTests[date]=MAXIFS(tblTests[date],tblTests[id_nageur],$A15,tblTests[protocole],"T400",tblTests[nage],$F15,tblTests[valide],"oui"))),1),""))</f>
        <v/>
      </c>
      <c r="BE15" s="19">
        <f>IF($A15="","",IFERROR(INDEX(FILTER(tblTests[temps_sec],(tblTests[id_nageur]=$A15)*(tblTests[protocole]="T100")*(tblTests[nage]=$F15)*(tblTests[valide]="oui")*(tblTests[date]=IFERROR(LARGE(FILTER(tblTests[date],(tblTests[id_nageur]=$A15)*(tblTests[protocole]="T100")*(tblTests[nage]=$F15)*(tblTests[valide]="oui")),2),0))),1),""))</f>
        <v/>
      </c>
      <c r="BF15" s="14">
        <f>IF($A15="","",IFERROR(MAXIFS(tblTests[date],tblTests[id_nageur],$A15,tblTests[protocole],"T100",tblTests[nage],$F15,tblTests[valide],"oui"),""))</f>
        <v/>
      </c>
    </row>
    <row r="16" ht="36" customHeight="1">
      <c r="A16" s="20">
        <f>IFERROR(IF(INDEX(tblNageurs[id],14)="","",INDEX(tblNageurs[id],14)),"")</f>
        <v/>
      </c>
      <c r="B16" s="20">
        <f>IF($A16="","",IFERROR(INDEX(tblNageurs[prenom],14),""))</f>
        <v/>
      </c>
      <c r="C16" s="20">
        <f>IF($A16="","",IFERROR(INDEX(tblNageurs[nom],14),""))</f>
        <v/>
      </c>
      <c r="D16" s="20">
        <f>IF($A16="","",IFERROR(INDEX(tblNageurs[niveau],14),""))</f>
        <v/>
      </c>
      <c r="E16" s="20">
        <f>IF($A16="","",IFERROR(INDEX(tblNageurs[statut],14),""))</f>
        <v/>
      </c>
      <c r="F16" s="20">
        <f>IF($A16="","",IF(OR($H16="dos",$H16="brasse",$H16="papillon"),$H16,"crawl"))</f>
        <v/>
      </c>
      <c r="G16" s="20">
        <f>IF($A16="","",IFERROR(XLOOKUP($A16,tblObjectifs[cle_dashboard],tblObjectifs[discipline],""),""))</f>
        <v/>
      </c>
      <c r="H16" s="20">
        <f>IF($A16="","",IFERROR(XLOOKUP($A16,tblObjectifs[cle_dashboard],tblObjectifs[nage],""),""))</f>
        <v/>
      </c>
      <c r="I16" s="20">
        <f>IF($A16="","",IFERROR(XLOOKUP($A16,tblObjectifs[cle_dashboard],tblObjectifs[distance_m],""),""))</f>
        <v/>
      </c>
      <c r="J16" s="21">
        <f>IF($A16="","",IFERROR(XLOOKUP($A16,tblObjectifs[cle_dashboard],tblObjectifs[date_objectif],""),""))</f>
        <v/>
      </c>
      <c r="K16" s="22">
        <f>IF($A16="","",IFERROR(XLOOKUP($A16,tblObjectifs[cle_dashboard],tblObjectifs[lieu],""),""))</f>
        <v/>
      </c>
      <c r="L16" s="20">
        <f>IF($A16="","",IFERROR(XLOOKUP($A16,tblObjectifs[cle_dashboard],tblObjectifs[temps_cible],""),""))</f>
        <v/>
      </c>
      <c r="M16" s="23">
        <f>IF(OR($A16="",$J16=""),"",($J16-TODAY())/7)</f>
        <v/>
      </c>
      <c r="N16" s="20">
        <f>IF(BA16="","",INT(BA16/60)&amp;":"&amp;TEXT(MOD(BA16,60),"00.00"))</f>
        <v/>
      </c>
      <c r="O16" s="20">
        <f>IF(BB16="","",INT(BB16/60)&amp;":"&amp;TEXT(MOD(BB16,60),"00.00"))</f>
        <v/>
      </c>
      <c r="P16" s="20">
        <f>IF(BC16="","",INT(BC16/60)&amp;":"&amp;TEXT(MOD(BC16,60),"00.00"))</f>
        <v/>
      </c>
      <c r="Q16" s="20">
        <f>IF(BD16="","",INT(BD16/60)&amp;":"&amp;TEXT(MOD(BD16,60),"00.00"))</f>
        <v/>
      </c>
      <c r="R16" s="24">
        <f>IF(OR(BB16="",BE16=""),"",(BB16-BE16)/BE16)</f>
        <v/>
      </c>
      <c r="S16" s="24">
        <f>IF(OR(BA16="",BB16=""),"",BB16/(2*BA16)-1)</f>
        <v/>
      </c>
      <c r="T16" s="24">
        <f>IF(OR(BB16="",BD16=""),"",BD16/(4*BB16)-1)</f>
        <v/>
      </c>
      <c r="U16" s="20">
        <f>IF(OR(BC16="",BD16=""),"",INT(((BD16-BC16)/2)/60)&amp;":"&amp;TEXT(MOD((BD16-BC16)/2,60),"00.00"))</f>
        <v/>
      </c>
      <c r="V16" s="23">
        <f>IF(BB16="","",ROUND(BB16,1))</f>
        <v/>
      </c>
      <c r="W16" s="22">
        <f>IF($A16="","",IFS(BB16="","Pas de T100 valide — Batterie A (T50 + T100).",AND(M16&lt;&gt;"",M16&lt;=3),"Affutage (&lt; 3 sem) — plus de test a fond. Allure de course.",AND(S16&lt;&gt;"",S16&gt;0.1),"Vitesse OK, il casse sur 100 (lactique / pacing / technique).",AND(T16&lt;&gt;"",T16&gt;0.12),"Manque aerobie / seuil — Batterie B (T200+T400) et series CSS.",AND(T16&lt;&gt;"",T16&lt;0.06,S16&lt;&gt;"",S16&lt;0.08),"Profil homogene — specificite d'allure vers la cible.",BA16="","Ajouter un T50 a la prochaine Batterie A.",TRUE,"Profil coherent. Voir consigne_charge pour deload / retest."))</f>
        <v/>
      </c>
      <c r="X16" s="20">
        <f>IF($A16="","",COUNTIFS(tblSeances[id_nageur],$A16,tblSeances[lundi],(TODAY()-WEEKDAY(TODAY(),3)),tblSeances[faite],"oui")&amp;"/"&amp;IFERROR(INDEX(tblNageurs[seances_sem],MATCH($A16,tblNageurs[id],0)),""))</f>
        <v/>
      </c>
      <c r="Y16" s="25">
        <f>IF($A16="","",SUMIFS(tblSeances[volume_m],tblSeances[id_nageur],$A16,tblSeances[lundi],(TODAY()-WEEKDAY(TODAY(),3)),tblSeances[faite],"oui"))</f>
        <v/>
      </c>
      <c r="Z16" s="20">
        <f>IF($A16="","",TEXT(SUMIFS(tblSeances[volume_m],tblSeances[id_nageur],$A16,tblSeances[lundi],(TODAY()-WEEKDAY(TODAY(),3)),tblSeances[faite],"oui"),"0")&amp;" / "&amp;TEXT(SUMIFS(tblSeances[volume_m],tblSeances[id_nageur],$A16,tblSeances[lundi],(TODAY()-WEEKDAY(TODAY(),3))-7,tblSeances[faite],"oui"),"0")&amp;" / "&amp;TEXT(SUMIFS(tblSeances[volume_m],tblSeances[id_nageur],$A16,tblSeances[lundi],(TODAY()-WEEKDAY(TODAY(),3))-14,tblSeances[faite],"oui"),"0"))</f>
        <v/>
      </c>
      <c r="AA16" s="20">
        <f>IF($A16="","",IFERROR(INDEX(FILTER(CHARGE!L$3:L$82,(CHARGE!A$3:A$82=$A16)*(CHARGE!B$3:B$82=(TODAY()-WEEKDAY(TODAY(),3)))),1),""))</f>
        <v/>
      </c>
      <c r="AB16" s="20">
        <f>IF($A16="","",IFERROR(INDEX(FILTER(CHARGE!M$3:M$82,(CHARGE!A$3:A$82=$A16)*(CHARGE!B$3:B$82=(TODAY()-WEEKDAY(TODAY(),3)))),1),""))</f>
        <v/>
      </c>
      <c r="AC16" s="22">
        <f>IF($A16="","",IFERROR(INDEX(FILTER(CHARGE!N$3:N$82,(CHARGE!A$3:A$82=$A16)*(CHARGE!B$3:B$82=(TODAY()-WEEKDAY(TODAY(),3)))),1),""))</f>
        <v/>
      </c>
      <c r="BA16" s="19">
        <f>IF($A16="","",IFERROR(INDEX(FILTER(tblTests[temps_sec],(tblTests[id_nageur]=$A16)*(tblTests[protocole]="T50")*(tblTests[nage]=$F16)*(tblTests[valide]="oui")*(tblTests[date]=MAXIFS(tblTests[date],tblTests[id_nageur],$A16,tblTests[protocole],"T50",tblTests[nage],$F16,tblTests[valide],"oui"))),1),""))</f>
        <v/>
      </c>
      <c r="BB16" s="19">
        <f>IF($A16="","",IFERROR(INDEX(FILTER(tblTests[temps_sec],(tblTests[id_nageur]=$A16)*(tblTests[protocole]="T100")*(tblTests[nage]=$F16)*(tblTests[valide]="oui")*(tblTests[date]=MAXIFS(tblTests[date],tblTests[id_nageur],$A16,tblTests[protocole],"T100",tblTests[nage],$F16,tblTests[valide],"oui"))),1),""))</f>
        <v/>
      </c>
      <c r="BC16" s="19">
        <f>IF($A16="","",IFERROR(INDEX(FILTER(tblTests[temps_sec],(tblTests[id_nageur]=$A16)*(tblTests[protocole]="T200")*(tblTests[nage]=$F16)*(tblTests[valide]="oui")*(tblTests[date]=MAXIFS(tblTests[date],tblTests[id_nageur],$A16,tblTests[protocole],"T200",tblTests[nage],$F16,tblTests[valide],"oui"))),1),""))</f>
        <v/>
      </c>
      <c r="BD16" s="19">
        <f>IF($A16="","",IFERROR(INDEX(FILTER(tblTests[temps_sec],(tblTests[id_nageur]=$A16)*(tblTests[protocole]="T400")*(tblTests[nage]=$F16)*(tblTests[valide]="oui")*(tblTests[date]=MAXIFS(tblTests[date],tblTests[id_nageur],$A16,tblTests[protocole],"T400",tblTests[nage],$F16,tblTests[valide],"oui"))),1),""))</f>
        <v/>
      </c>
      <c r="BE16" s="19">
        <f>IF($A16="","",IFERROR(INDEX(FILTER(tblTests[temps_sec],(tblTests[id_nageur]=$A16)*(tblTests[protocole]="T100")*(tblTests[nage]=$F16)*(tblTests[valide]="oui")*(tblTests[date]=IFERROR(LARGE(FILTER(tblTests[date],(tblTests[id_nageur]=$A16)*(tblTests[protocole]="T100")*(tblTests[nage]=$F16)*(tblTests[valide]="oui")),2),0))),1),""))</f>
        <v/>
      </c>
      <c r="BF16" s="14">
        <f>IF($A16="","",IFERROR(MAXIFS(tblTests[date],tblTests[id_nageur],$A16,tblTests[protocole],"T100",tblTests[nage],$F16,tblTests[valide],"oui"),""))</f>
        <v/>
      </c>
    </row>
    <row r="17" ht="36" customHeight="1">
      <c r="A17" s="13">
        <f>IFERROR(IF(INDEX(tblNageurs[id],15)="","",INDEX(tblNageurs[id],15)),"")</f>
        <v/>
      </c>
      <c r="B17" s="13">
        <f>IF($A17="","",IFERROR(INDEX(tblNageurs[prenom],15),""))</f>
        <v/>
      </c>
      <c r="C17" s="13">
        <f>IF($A17="","",IFERROR(INDEX(tblNageurs[nom],15),""))</f>
        <v/>
      </c>
      <c r="D17" s="13">
        <f>IF($A17="","",IFERROR(INDEX(tblNageurs[niveau],15),""))</f>
        <v/>
      </c>
      <c r="E17" s="13">
        <f>IF($A17="","",IFERROR(INDEX(tblNageurs[statut],15),""))</f>
        <v/>
      </c>
      <c r="F17" s="13">
        <f>IF($A17="","",IF(OR($H17="dos",$H17="brasse",$H17="papillon"),$H17,"crawl"))</f>
        <v/>
      </c>
      <c r="G17" s="13">
        <f>IF($A17="","",IFERROR(XLOOKUP($A17,tblObjectifs[cle_dashboard],tblObjectifs[discipline],""),""))</f>
        <v/>
      </c>
      <c r="H17" s="13">
        <f>IF($A17="","",IFERROR(XLOOKUP($A17,tblObjectifs[cle_dashboard],tblObjectifs[nage],""),""))</f>
        <v/>
      </c>
      <c r="I17" s="13">
        <f>IF($A17="","",IFERROR(XLOOKUP($A17,tblObjectifs[cle_dashboard],tblObjectifs[distance_m],""),""))</f>
        <v/>
      </c>
      <c r="J17" s="14">
        <f>IF($A17="","",IFERROR(XLOOKUP($A17,tblObjectifs[cle_dashboard],tblObjectifs[date_objectif],""),""))</f>
        <v/>
      </c>
      <c r="K17" s="15">
        <f>IF($A17="","",IFERROR(XLOOKUP($A17,tblObjectifs[cle_dashboard],tblObjectifs[lieu],""),""))</f>
        <v/>
      </c>
      <c r="L17" s="13">
        <f>IF($A17="","",IFERROR(XLOOKUP($A17,tblObjectifs[cle_dashboard],tblObjectifs[temps_cible],""),""))</f>
        <v/>
      </c>
      <c r="M17" s="16">
        <f>IF(OR($A17="",$J17=""),"",($J17-TODAY())/7)</f>
        <v/>
      </c>
      <c r="N17" s="13">
        <f>IF(BA17="","",INT(BA17/60)&amp;":"&amp;TEXT(MOD(BA17,60),"00.00"))</f>
        <v/>
      </c>
      <c r="O17" s="13">
        <f>IF(BB17="","",INT(BB17/60)&amp;":"&amp;TEXT(MOD(BB17,60),"00.00"))</f>
        <v/>
      </c>
      <c r="P17" s="13">
        <f>IF(BC17="","",INT(BC17/60)&amp;":"&amp;TEXT(MOD(BC17,60),"00.00"))</f>
        <v/>
      </c>
      <c r="Q17" s="13">
        <f>IF(BD17="","",INT(BD17/60)&amp;":"&amp;TEXT(MOD(BD17,60),"00.00"))</f>
        <v/>
      </c>
      <c r="R17" s="17">
        <f>IF(OR(BB17="",BE17=""),"",(BB17-BE17)/BE17)</f>
        <v/>
      </c>
      <c r="S17" s="17">
        <f>IF(OR(BA17="",BB17=""),"",BB17/(2*BA17)-1)</f>
        <v/>
      </c>
      <c r="T17" s="17">
        <f>IF(OR(BB17="",BD17=""),"",BD17/(4*BB17)-1)</f>
        <v/>
      </c>
      <c r="U17" s="13">
        <f>IF(OR(BC17="",BD17=""),"",INT(((BD17-BC17)/2)/60)&amp;":"&amp;TEXT(MOD((BD17-BC17)/2,60),"00.00"))</f>
        <v/>
      </c>
      <c r="V17" s="16">
        <f>IF(BB17="","",ROUND(BB17,1))</f>
        <v/>
      </c>
      <c r="W17" s="15">
        <f>IF($A17="","",IFS(BB17="","Pas de T100 valide — Batterie A (T50 + T100).",AND(M17&lt;&gt;"",M17&lt;=3),"Affutage (&lt; 3 sem) — plus de test a fond. Allure de course.",AND(S17&lt;&gt;"",S17&gt;0.1),"Vitesse OK, il casse sur 100 (lactique / pacing / technique).",AND(T17&lt;&gt;"",T17&gt;0.12),"Manque aerobie / seuil — Batterie B (T200+T400) et series CSS.",AND(T17&lt;&gt;"",T17&lt;0.06,S17&lt;&gt;"",S17&lt;0.08),"Profil homogene — specificite d'allure vers la cible.",BA17="","Ajouter un T50 a la prochaine Batterie A.",TRUE,"Profil coherent. Voir consigne_charge pour deload / retest."))</f>
        <v/>
      </c>
      <c r="X17" s="13">
        <f>IF($A17="","",COUNTIFS(tblSeances[id_nageur],$A17,tblSeances[lundi],(TODAY()-WEEKDAY(TODAY(),3)),tblSeances[faite],"oui")&amp;"/"&amp;IFERROR(INDEX(tblNageurs[seances_sem],MATCH($A17,tblNageurs[id],0)),""))</f>
        <v/>
      </c>
      <c r="Y17" s="18">
        <f>IF($A17="","",SUMIFS(tblSeances[volume_m],tblSeances[id_nageur],$A17,tblSeances[lundi],(TODAY()-WEEKDAY(TODAY(),3)),tblSeances[faite],"oui"))</f>
        <v/>
      </c>
      <c r="Z17" s="13">
        <f>IF($A17="","",TEXT(SUMIFS(tblSeances[volume_m],tblSeances[id_nageur],$A17,tblSeances[lundi],(TODAY()-WEEKDAY(TODAY(),3)),tblSeances[faite],"oui"),"0")&amp;" / "&amp;TEXT(SUMIFS(tblSeances[volume_m],tblSeances[id_nageur],$A17,tblSeances[lundi],(TODAY()-WEEKDAY(TODAY(),3))-7,tblSeances[faite],"oui"),"0")&amp;" / "&amp;TEXT(SUMIFS(tblSeances[volume_m],tblSeances[id_nageur],$A17,tblSeances[lundi],(TODAY()-WEEKDAY(TODAY(),3))-14,tblSeances[faite],"oui"),"0"))</f>
        <v/>
      </c>
      <c r="AA17" s="13">
        <f>IF($A17="","",IFERROR(INDEX(FILTER(CHARGE!L$3:L$82,(CHARGE!A$3:A$82=$A17)*(CHARGE!B$3:B$82=(TODAY()-WEEKDAY(TODAY(),3)))),1),""))</f>
        <v/>
      </c>
      <c r="AB17" s="13">
        <f>IF($A17="","",IFERROR(INDEX(FILTER(CHARGE!M$3:M$82,(CHARGE!A$3:A$82=$A17)*(CHARGE!B$3:B$82=(TODAY()-WEEKDAY(TODAY(),3)))),1),""))</f>
        <v/>
      </c>
      <c r="AC17" s="15">
        <f>IF($A17="","",IFERROR(INDEX(FILTER(CHARGE!N$3:N$82,(CHARGE!A$3:A$82=$A17)*(CHARGE!B$3:B$82=(TODAY()-WEEKDAY(TODAY(),3)))),1),""))</f>
        <v/>
      </c>
      <c r="BA17" s="19">
        <f>IF($A17="","",IFERROR(INDEX(FILTER(tblTests[temps_sec],(tblTests[id_nageur]=$A17)*(tblTests[protocole]="T50")*(tblTests[nage]=$F17)*(tblTests[valide]="oui")*(tblTests[date]=MAXIFS(tblTests[date],tblTests[id_nageur],$A17,tblTests[protocole],"T50",tblTests[nage],$F17,tblTests[valide],"oui"))),1),""))</f>
        <v/>
      </c>
      <c r="BB17" s="19">
        <f>IF($A17="","",IFERROR(INDEX(FILTER(tblTests[temps_sec],(tblTests[id_nageur]=$A17)*(tblTests[protocole]="T100")*(tblTests[nage]=$F17)*(tblTests[valide]="oui")*(tblTests[date]=MAXIFS(tblTests[date],tblTests[id_nageur],$A17,tblTests[protocole],"T100",tblTests[nage],$F17,tblTests[valide],"oui"))),1),""))</f>
        <v/>
      </c>
      <c r="BC17" s="19">
        <f>IF($A17="","",IFERROR(INDEX(FILTER(tblTests[temps_sec],(tblTests[id_nageur]=$A17)*(tblTests[protocole]="T200")*(tblTests[nage]=$F17)*(tblTests[valide]="oui")*(tblTests[date]=MAXIFS(tblTests[date],tblTests[id_nageur],$A17,tblTests[protocole],"T200",tblTests[nage],$F17,tblTests[valide],"oui"))),1),""))</f>
        <v/>
      </c>
      <c r="BD17" s="19">
        <f>IF($A17="","",IFERROR(INDEX(FILTER(tblTests[temps_sec],(tblTests[id_nageur]=$A17)*(tblTests[protocole]="T400")*(tblTests[nage]=$F17)*(tblTests[valide]="oui")*(tblTests[date]=MAXIFS(tblTests[date],tblTests[id_nageur],$A17,tblTests[protocole],"T400",tblTests[nage],$F17,tblTests[valide],"oui"))),1),""))</f>
        <v/>
      </c>
      <c r="BE17" s="19">
        <f>IF($A17="","",IFERROR(INDEX(FILTER(tblTests[temps_sec],(tblTests[id_nageur]=$A17)*(tblTests[protocole]="T100")*(tblTests[nage]=$F17)*(tblTests[valide]="oui")*(tblTests[date]=IFERROR(LARGE(FILTER(tblTests[date],(tblTests[id_nageur]=$A17)*(tblTests[protocole]="T100")*(tblTests[nage]=$F17)*(tblTests[valide]="oui")),2),0))),1),""))</f>
        <v/>
      </c>
      <c r="BF17" s="14">
        <f>IF($A17="","",IFERROR(MAXIFS(tblTests[date],tblTests[id_nageur],$A17,tblTests[protocole],"T100",tblTests[nage],$F17,tblTests[valide],"oui"),""))</f>
        <v/>
      </c>
    </row>
    <row r="18" ht="36" customHeight="1">
      <c r="A18" s="20">
        <f>IFERROR(IF(INDEX(tblNageurs[id],16)="","",INDEX(tblNageurs[id],16)),"")</f>
        <v/>
      </c>
      <c r="B18" s="20">
        <f>IF($A18="","",IFERROR(INDEX(tblNageurs[prenom],16),""))</f>
        <v/>
      </c>
      <c r="C18" s="20">
        <f>IF($A18="","",IFERROR(INDEX(tblNageurs[nom],16),""))</f>
        <v/>
      </c>
      <c r="D18" s="20">
        <f>IF($A18="","",IFERROR(INDEX(tblNageurs[niveau],16),""))</f>
        <v/>
      </c>
      <c r="E18" s="20">
        <f>IF($A18="","",IFERROR(INDEX(tblNageurs[statut],16),""))</f>
        <v/>
      </c>
      <c r="F18" s="20">
        <f>IF($A18="","",IF(OR($H18="dos",$H18="brasse",$H18="papillon"),$H18,"crawl"))</f>
        <v/>
      </c>
      <c r="G18" s="20">
        <f>IF($A18="","",IFERROR(XLOOKUP($A18,tblObjectifs[cle_dashboard],tblObjectifs[discipline],""),""))</f>
        <v/>
      </c>
      <c r="H18" s="20">
        <f>IF($A18="","",IFERROR(XLOOKUP($A18,tblObjectifs[cle_dashboard],tblObjectifs[nage],""),""))</f>
        <v/>
      </c>
      <c r="I18" s="20">
        <f>IF($A18="","",IFERROR(XLOOKUP($A18,tblObjectifs[cle_dashboard],tblObjectifs[distance_m],""),""))</f>
        <v/>
      </c>
      <c r="J18" s="21">
        <f>IF($A18="","",IFERROR(XLOOKUP($A18,tblObjectifs[cle_dashboard],tblObjectifs[date_objectif],""),""))</f>
        <v/>
      </c>
      <c r="K18" s="22">
        <f>IF($A18="","",IFERROR(XLOOKUP($A18,tblObjectifs[cle_dashboard],tblObjectifs[lieu],""),""))</f>
        <v/>
      </c>
      <c r="L18" s="20">
        <f>IF($A18="","",IFERROR(XLOOKUP($A18,tblObjectifs[cle_dashboard],tblObjectifs[temps_cible],""),""))</f>
        <v/>
      </c>
      <c r="M18" s="23">
        <f>IF(OR($A18="",$J18=""),"",($J18-TODAY())/7)</f>
        <v/>
      </c>
      <c r="N18" s="20">
        <f>IF(BA18="","",INT(BA18/60)&amp;":"&amp;TEXT(MOD(BA18,60),"00.00"))</f>
        <v/>
      </c>
      <c r="O18" s="20">
        <f>IF(BB18="","",INT(BB18/60)&amp;":"&amp;TEXT(MOD(BB18,60),"00.00"))</f>
        <v/>
      </c>
      <c r="P18" s="20">
        <f>IF(BC18="","",INT(BC18/60)&amp;":"&amp;TEXT(MOD(BC18,60),"00.00"))</f>
        <v/>
      </c>
      <c r="Q18" s="20">
        <f>IF(BD18="","",INT(BD18/60)&amp;":"&amp;TEXT(MOD(BD18,60),"00.00"))</f>
        <v/>
      </c>
      <c r="R18" s="24">
        <f>IF(OR(BB18="",BE18=""),"",(BB18-BE18)/BE18)</f>
        <v/>
      </c>
      <c r="S18" s="24">
        <f>IF(OR(BA18="",BB18=""),"",BB18/(2*BA18)-1)</f>
        <v/>
      </c>
      <c r="T18" s="24">
        <f>IF(OR(BB18="",BD18=""),"",BD18/(4*BB18)-1)</f>
        <v/>
      </c>
      <c r="U18" s="20">
        <f>IF(OR(BC18="",BD18=""),"",INT(((BD18-BC18)/2)/60)&amp;":"&amp;TEXT(MOD((BD18-BC18)/2,60),"00.00"))</f>
        <v/>
      </c>
      <c r="V18" s="23">
        <f>IF(BB18="","",ROUND(BB18,1))</f>
        <v/>
      </c>
      <c r="W18" s="22">
        <f>IF($A18="","",IFS(BB18="","Pas de T100 valide — Batterie A (T50 + T100).",AND(M18&lt;&gt;"",M18&lt;=3),"Affutage (&lt; 3 sem) — plus de test a fond. Allure de course.",AND(S18&lt;&gt;"",S18&gt;0.1),"Vitesse OK, il casse sur 100 (lactique / pacing / technique).",AND(T18&lt;&gt;"",T18&gt;0.12),"Manque aerobie / seuil — Batterie B (T200+T400) et series CSS.",AND(T18&lt;&gt;"",T18&lt;0.06,S18&lt;&gt;"",S18&lt;0.08),"Profil homogene — specificite d'allure vers la cible.",BA18="","Ajouter un T50 a la prochaine Batterie A.",TRUE,"Profil coherent. Voir consigne_charge pour deload / retest."))</f>
        <v/>
      </c>
      <c r="X18" s="20">
        <f>IF($A18="","",COUNTIFS(tblSeances[id_nageur],$A18,tblSeances[lundi],(TODAY()-WEEKDAY(TODAY(),3)),tblSeances[faite],"oui")&amp;"/"&amp;IFERROR(INDEX(tblNageurs[seances_sem],MATCH($A18,tblNageurs[id],0)),""))</f>
        <v/>
      </c>
      <c r="Y18" s="25">
        <f>IF($A18="","",SUMIFS(tblSeances[volume_m],tblSeances[id_nageur],$A18,tblSeances[lundi],(TODAY()-WEEKDAY(TODAY(),3)),tblSeances[faite],"oui"))</f>
        <v/>
      </c>
      <c r="Z18" s="20">
        <f>IF($A18="","",TEXT(SUMIFS(tblSeances[volume_m],tblSeances[id_nageur],$A18,tblSeances[lundi],(TODAY()-WEEKDAY(TODAY(),3)),tblSeances[faite],"oui"),"0")&amp;" / "&amp;TEXT(SUMIFS(tblSeances[volume_m],tblSeances[id_nageur],$A18,tblSeances[lundi],(TODAY()-WEEKDAY(TODAY(),3))-7,tblSeances[faite],"oui"),"0")&amp;" / "&amp;TEXT(SUMIFS(tblSeances[volume_m],tblSeances[id_nageur],$A18,tblSeances[lundi],(TODAY()-WEEKDAY(TODAY(),3))-14,tblSeances[faite],"oui"),"0"))</f>
        <v/>
      </c>
      <c r="AA18" s="20">
        <f>IF($A18="","",IFERROR(INDEX(FILTER(CHARGE!L$3:L$82,(CHARGE!A$3:A$82=$A18)*(CHARGE!B$3:B$82=(TODAY()-WEEKDAY(TODAY(),3)))),1),""))</f>
        <v/>
      </c>
      <c r="AB18" s="20">
        <f>IF($A18="","",IFERROR(INDEX(FILTER(CHARGE!M$3:M$82,(CHARGE!A$3:A$82=$A18)*(CHARGE!B$3:B$82=(TODAY()-WEEKDAY(TODAY(),3)))),1),""))</f>
        <v/>
      </c>
      <c r="AC18" s="22">
        <f>IF($A18="","",IFERROR(INDEX(FILTER(CHARGE!N$3:N$82,(CHARGE!A$3:A$82=$A18)*(CHARGE!B$3:B$82=(TODAY()-WEEKDAY(TODAY(),3)))),1),""))</f>
        <v/>
      </c>
      <c r="BA18" s="19">
        <f>IF($A18="","",IFERROR(INDEX(FILTER(tblTests[temps_sec],(tblTests[id_nageur]=$A18)*(tblTests[protocole]="T50")*(tblTests[nage]=$F18)*(tblTests[valide]="oui")*(tblTests[date]=MAXIFS(tblTests[date],tblTests[id_nageur],$A18,tblTests[protocole],"T50",tblTests[nage],$F18,tblTests[valide],"oui"))),1),""))</f>
        <v/>
      </c>
      <c r="BB18" s="19">
        <f>IF($A18="","",IFERROR(INDEX(FILTER(tblTests[temps_sec],(tblTests[id_nageur]=$A18)*(tblTests[protocole]="T100")*(tblTests[nage]=$F18)*(tblTests[valide]="oui")*(tblTests[date]=MAXIFS(tblTests[date],tblTests[id_nageur],$A18,tblTests[protocole],"T100",tblTests[nage],$F18,tblTests[valide],"oui"))),1),""))</f>
        <v/>
      </c>
      <c r="BC18" s="19">
        <f>IF($A18="","",IFERROR(INDEX(FILTER(tblTests[temps_sec],(tblTests[id_nageur]=$A18)*(tblTests[protocole]="T200")*(tblTests[nage]=$F18)*(tblTests[valide]="oui")*(tblTests[date]=MAXIFS(tblTests[date],tblTests[id_nageur],$A18,tblTests[protocole],"T200",tblTests[nage],$F18,tblTests[valide],"oui"))),1),""))</f>
        <v/>
      </c>
      <c r="BD18" s="19">
        <f>IF($A18="","",IFERROR(INDEX(FILTER(tblTests[temps_sec],(tblTests[id_nageur]=$A18)*(tblTests[protocole]="T400")*(tblTests[nage]=$F18)*(tblTests[valide]="oui")*(tblTests[date]=MAXIFS(tblTests[date],tblTests[id_nageur],$A18,tblTests[protocole],"T400",tblTests[nage],$F18,tblTests[valide],"oui"))),1),""))</f>
        <v/>
      </c>
      <c r="BE18" s="19">
        <f>IF($A18="","",IFERROR(INDEX(FILTER(tblTests[temps_sec],(tblTests[id_nageur]=$A18)*(tblTests[protocole]="T100")*(tblTests[nage]=$F18)*(tblTests[valide]="oui")*(tblTests[date]=IFERROR(LARGE(FILTER(tblTests[date],(tblTests[id_nageur]=$A18)*(tblTests[protocole]="T100")*(tblTests[nage]=$F18)*(tblTests[valide]="oui")),2),0))),1),""))</f>
        <v/>
      </c>
      <c r="BF18" s="14">
        <f>IF($A18="","",IFERROR(MAXIFS(tblTests[date],tblTests[id_nageur],$A18,tblTests[protocole],"T100",tblTests[nage],$F18,tblTests[valide],"oui"),""))</f>
        <v/>
      </c>
    </row>
    <row r="19" ht="36" customHeight="1">
      <c r="A19" s="13">
        <f>IFERROR(IF(INDEX(tblNageurs[id],17)="","",INDEX(tblNageurs[id],17)),"")</f>
        <v/>
      </c>
      <c r="B19" s="13">
        <f>IF($A19="","",IFERROR(INDEX(tblNageurs[prenom],17),""))</f>
        <v/>
      </c>
      <c r="C19" s="13">
        <f>IF($A19="","",IFERROR(INDEX(tblNageurs[nom],17),""))</f>
        <v/>
      </c>
      <c r="D19" s="13">
        <f>IF($A19="","",IFERROR(INDEX(tblNageurs[niveau],17),""))</f>
        <v/>
      </c>
      <c r="E19" s="13">
        <f>IF($A19="","",IFERROR(INDEX(tblNageurs[statut],17),""))</f>
        <v/>
      </c>
      <c r="F19" s="13">
        <f>IF($A19="","",IF(OR($H19="dos",$H19="brasse",$H19="papillon"),$H19,"crawl"))</f>
        <v/>
      </c>
      <c r="G19" s="13">
        <f>IF($A19="","",IFERROR(XLOOKUP($A19,tblObjectifs[cle_dashboard],tblObjectifs[discipline],""),""))</f>
        <v/>
      </c>
      <c r="H19" s="13">
        <f>IF($A19="","",IFERROR(XLOOKUP($A19,tblObjectifs[cle_dashboard],tblObjectifs[nage],""),""))</f>
        <v/>
      </c>
      <c r="I19" s="13">
        <f>IF($A19="","",IFERROR(XLOOKUP($A19,tblObjectifs[cle_dashboard],tblObjectifs[distance_m],""),""))</f>
        <v/>
      </c>
      <c r="J19" s="14">
        <f>IF($A19="","",IFERROR(XLOOKUP($A19,tblObjectifs[cle_dashboard],tblObjectifs[date_objectif],""),""))</f>
        <v/>
      </c>
      <c r="K19" s="15">
        <f>IF($A19="","",IFERROR(XLOOKUP($A19,tblObjectifs[cle_dashboard],tblObjectifs[lieu],""),""))</f>
        <v/>
      </c>
      <c r="L19" s="13">
        <f>IF($A19="","",IFERROR(XLOOKUP($A19,tblObjectifs[cle_dashboard],tblObjectifs[temps_cible],""),""))</f>
        <v/>
      </c>
      <c r="M19" s="16">
        <f>IF(OR($A19="",$J19=""),"",($J19-TODAY())/7)</f>
        <v/>
      </c>
      <c r="N19" s="13">
        <f>IF(BA19="","",INT(BA19/60)&amp;":"&amp;TEXT(MOD(BA19,60),"00.00"))</f>
        <v/>
      </c>
      <c r="O19" s="13">
        <f>IF(BB19="","",INT(BB19/60)&amp;":"&amp;TEXT(MOD(BB19,60),"00.00"))</f>
        <v/>
      </c>
      <c r="P19" s="13">
        <f>IF(BC19="","",INT(BC19/60)&amp;":"&amp;TEXT(MOD(BC19,60),"00.00"))</f>
        <v/>
      </c>
      <c r="Q19" s="13">
        <f>IF(BD19="","",INT(BD19/60)&amp;":"&amp;TEXT(MOD(BD19,60),"00.00"))</f>
        <v/>
      </c>
      <c r="R19" s="17">
        <f>IF(OR(BB19="",BE19=""),"",(BB19-BE19)/BE19)</f>
        <v/>
      </c>
      <c r="S19" s="17">
        <f>IF(OR(BA19="",BB19=""),"",BB19/(2*BA19)-1)</f>
        <v/>
      </c>
      <c r="T19" s="17">
        <f>IF(OR(BB19="",BD19=""),"",BD19/(4*BB19)-1)</f>
        <v/>
      </c>
      <c r="U19" s="13">
        <f>IF(OR(BC19="",BD19=""),"",INT(((BD19-BC19)/2)/60)&amp;":"&amp;TEXT(MOD((BD19-BC19)/2,60),"00.00"))</f>
        <v/>
      </c>
      <c r="V19" s="16">
        <f>IF(BB19="","",ROUND(BB19,1))</f>
        <v/>
      </c>
      <c r="W19" s="15">
        <f>IF($A19="","",IFS(BB19="","Pas de T100 valide — Batterie A (T50 + T100).",AND(M19&lt;&gt;"",M19&lt;=3),"Affutage (&lt; 3 sem) — plus de test a fond. Allure de course.",AND(S19&lt;&gt;"",S19&gt;0.1),"Vitesse OK, il casse sur 100 (lactique / pacing / technique).",AND(T19&lt;&gt;"",T19&gt;0.12),"Manque aerobie / seuil — Batterie B (T200+T400) et series CSS.",AND(T19&lt;&gt;"",T19&lt;0.06,S19&lt;&gt;"",S19&lt;0.08),"Profil homogene — specificite d'allure vers la cible.",BA19="","Ajouter un T50 a la prochaine Batterie A.",TRUE,"Profil coherent. Voir consigne_charge pour deload / retest."))</f>
        <v/>
      </c>
      <c r="X19" s="13">
        <f>IF($A19="","",COUNTIFS(tblSeances[id_nageur],$A19,tblSeances[lundi],(TODAY()-WEEKDAY(TODAY(),3)),tblSeances[faite],"oui")&amp;"/"&amp;IFERROR(INDEX(tblNageurs[seances_sem],MATCH($A19,tblNageurs[id],0)),""))</f>
        <v/>
      </c>
      <c r="Y19" s="18">
        <f>IF($A19="","",SUMIFS(tblSeances[volume_m],tblSeances[id_nageur],$A19,tblSeances[lundi],(TODAY()-WEEKDAY(TODAY(),3)),tblSeances[faite],"oui"))</f>
        <v/>
      </c>
      <c r="Z19" s="13">
        <f>IF($A19="","",TEXT(SUMIFS(tblSeances[volume_m],tblSeances[id_nageur],$A19,tblSeances[lundi],(TODAY()-WEEKDAY(TODAY(),3)),tblSeances[faite],"oui"),"0")&amp;" / "&amp;TEXT(SUMIFS(tblSeances[volume_m],tblSeances[id_nageur],$A19,tblSeances[lundi],(TODAY()-WEEKDAY(TODAY(),3))-7,tblSeances[faite],"oui"),"0")&amp;" / "&amp;TEXT(SUMIFS(tblSeances[volume_m],tblSeances[id_nageur],$A19,tblSeances[lundi],(TODAY()-WEEKDAY(TODAY(),3))-14,tblSeances[faite],"oui"),"0"))</f>
        <v/>
      </c>
      <c r="AA19" s="13">
        <f>IF($A19="","",IFERROR(INDEX(FILTER(CHARGE!L$3:L$82,(CHARGE!A$3:A$82=$A19)*(CHARGE!B$3:B$82=(TODAY()-WEEKDAY(TODAY(),3)))),1),""))</f>
        <v/>
      </c>
      <c r="AB19" s="13">
        <f>IF($A19="","",IFERROR(INDEX(FILTER(CHARGE!M$3:M$82,(CHARGE!A$3:A$82=$A19)*(CHARGE!B$3:B$82=(TODAY()-WEEKDAY(TODAY(),3)))),1),""))</f>
        <v/>
      </c>
      <c r="AC19" s="15">
        <f>IF($A19="","",IFERROR(INDEX(FILTER(CHARGE!N$3:N$82,(CHARGE!A$3:A$82=$A19)*(CHARGE!B$3:B$82=(TODAY()-WEEKDAY(TODAY(),3)))),1),""))</f>
        <v/>
      </c>
      <c r="BA19" s="19">
        <f>IF($A19="","",IFERROR(INDEX(FILTER(tblTests[temps_sec],(tblTests[id_nageur]=$A19)*(tblTests[protocole]="T50")*(tblTests[nage]=$F19)*(tblTests[valide]="oui")*(tblTests[date]=MAXIFS(tblTests[date],tblTests[id_nageur],$A19,tblTests[protocole],"T50",tblTests[nage],$F19,tblTests[valide],"oui"))),1),""))</f>
        <v/>
      </c>
      <c r="BB19" s="19">
        <f>IF($A19="","",IFERROR(INDEX(FILTER(tblTests[temps_sec],(tblTests[id_nageur]=$A19)*(tblTests[protocole]="T100")*(tblTests[nage]=$F19)*(tblTests[valide]="oui")*(tblTests[date]=MAXIFS(tblTests[date],tblTests[id_nageur],$A19,tblTests[protocole],"T100",tblTests[nage],$F19,tblTests[valide],"oui"))),1),""))</f>
        <v/>
      </c>
      <c r="BC19" s="19">
        <f>IF($A19="","",IFERROR(INDEX(FILTER(tblTests[temps_sec],(tblTests[id_nageur]=$A19)*(tblTests[protocole]="T200")*(tblTests[nage]=$F19)*(tblTests[valide]="oui")*(tblTests[date]=MAXIFS(tblTests[date],tblTests[id_nageur],$A19,tblTests[protocole],"T200",tblTests[nage],$F19,tblTests[valide],"oui"))),1),""))</f>
        <v/>
      </c>
      <c r="BD19" s="19">
        <f>IF($A19="","",IFERROR(INDEX(FILTER(tblTests[temps_sec],(tblTests[id_nageur]=$A19)*(tblTests[protocole]="T400")*(tblTests[nage]=$F19)*(tblTests[valide]="oui")*(tblTests[date]=MAXIFS(tblTests[date],tblTests[id_nageur],$A19,tblTests[protocole],"T400",tblTests[nage],$F19,tblTests[valide],"oui"))),1),""))</f>
        <v/>
      </c>
      <c r="BE19" s="19">
        <f>IF($A19="","",IFERROR(INDEX(FILTER(tblTests[temps_sec],(tblTests[id_nageur]=$A19)*(tblTests[protocole]="T100")*(tblTests[nage]=$F19)*(tblTests[valide]="oui")*(tblTests[date]=IFERROR(LARGE(FILTER(tblTests[date],(tblTests[id_nageur]=$A19)*(tblTests[protocole]="T100")*(tblTests[nage]=$F19)*(tblTests[valide]="oui")),2),0))),1),""))</f>
        <v/>
      </c>
      <c r="BF19" s="14">
        <f>IF($A19="","",IFERROR(MAXIFS(tblTests[date],tblTests[id_nageur],$A19,tblTests[protocole],"T100",tblTests[nage],$F19,tblTests[valide],"oui"),""))</f>
        <v/>
      </c>
    </row>
    <row r="20" ht="36" customHeight="1">
      <c r="A20" s="20">
        <f>IFERROR(IF(INDEX(tblNageurs[id],18)="","",INDEX(tblNageurs[id],18)),"")</f>
        <v/>
      </c>
      <c r="B20" s="20">
        <f>IF($A20="","",IFERROR(INDEX(tblNageurs[prenom],18),""))</f>
        <v/>
      </c>
      <c r="C20" s="20">
        <f>IF($A20="","",IFERROR(INDEX(tblNageurs[nom],18),""))</f>
        <v/>
      </c>
      <c r="D20" s="20">
        <f>IF($A20="","",IFERROR(INDEX(tblNageurs[niveau],18),""))</f>
        <v/>
      </c>
      <c r="E20" s="20">
        <f>IF($A20="","",IFERROR(INDEX(tblNageurs[statut],18),""))</f>
        <v/>
      </c>
      <c r="F20" s="20">
        <f>IF($A20="","",IF(OR($H20="dos",$H20="brasse",$H20="papillon"),$H20,"crawl"))</f>
        <v/>
      </c>
      <c r="G20" s="20">
        <f>IF($A20="","",IFERROR(XLOOKUP($A20,tblObjectifs[cle_dashboard],tblObjectifs[discipline],""),""))</f>
        <v/>
      </c>
      <c r="H20" s="20">
        <f>IF($A20="","",IFERROR(XLOOKUP($A20,tblObjectifs[cle_dashboard],tblObjectifs[nage],""),""))</f>
        <v/>
      </c>
      <c r="I20" s="20">
        <f>IF($A20="","",IFERROR(XLOOKUP($A20,tblObjectifs[cle_dashboard],tblObjectifs[distance_m],""),""))</f>
        <v/>
      </c>
      <c r="J20" s="21">
        <f>IF($A20="","",IFERROR(XLOOKUP($A20,tblObjectifs[cle_dashboard],tblObjectifs[date_objectif],""),""))</f>
        <v/>
      </c>
      <c r="K20" s="22">
        <f>IF($A20="","",IFERROR(XLOOKUP($A20,tblObjectifs[cle_dashboard],tblObjectifs[lieu],""),""))</f>
        <v/>
      </c>
      <c r="L20" s="20">
        <f>IF($A20="","",IFERROR(XLOOKUP($A20,tblObjectifs[cle_dashboard],tblObjectifs[temps_cible],""),""))</f>
        <v/>
      </c>
      <c r="M20" s="23">
        <f>IF(OR($A20="",$J20=""),"",($J20-TODAY())/7)</f>
        <v/>
      </c>
      <c r="N20" s="20">
        <f>IF(BA20="","",INT(BA20/60)&amp;":"&amp;TEXT(MOD(BA20,60),"00.00"))</f>
        <v/>
      </c>
      <c r="O20" s="20">
        <f>IF(BB20="","",INT(BB20/60)&amp;":"&amp;TEXT(MOD(BB20,60),"00.00"))</f>
        <v/>
      </c>
      <c r="P20" s="20">
        <f>IF(BC20="","",INT(BC20/60)&amp;":"&amp;TEXT(MOD(BC20,60),"00.00"))</f>
        <v/>
      </c>
      <c r="Q20" s="20">
        <f>IF(BD20="","",INT(BD20/60)&amp;":"&amp;TEXT(MOD(BD20,60),"00.00"))</f>
        <v/>
      </c>
      <c r="R20" s="24">
        <f>IF(OR(BB20="",BE20=""),"",(BB20-BE20)/BE20)</f>
        <v/>
      </c>
      <c r="S20" s="24">
        <f>IF(OR(BA20="",BB20=""),"",BB20/(2*BA20)-1)</f>
        <v/>
      </c>
      <c r="T20" s="24">
        <f>IF(OR(BB20="",BD20=""),"",BD20/(4*BB20)-1)</f>
        <v/>
      </c>
      <c r="U20" s="20">
        <f>IF(OR(BC20="",BD20=""),"",INT(((BD20-BC20)/2)/60)&amp;":"&amp;TEXT(MOD((BD20-BC20)/2,60),"00.00"))</f>
        <v/>
      </c>
      <c r="V20" s="23">
        <f>IF(BB20="","",ROUND(BB20,1))</f>
        <v/>
      </c>
      <c r="W20" s="22">
        <f>IF($A20="","",IFS(BB20="","Pas de T100 valide — Batterie A (T50 + T100).",AND(M20&lt;&gt;"",M20&lt;=3),"Affutage (&lt; 3 sem) — plus de test a fond. Allure de course.",AND(S20&lt;&gt;"",S20&gt;0.1),"Vitesse OK, il casse sur 100 (lactique / pacing / technique).",AND(T20&lt;&gt;"",T20&gt;0.12),"Manque aerobie / seuil — Batterie B (T200+T400) et series CSS.",AND(T20&lt;&gt;"",T20&lt;0.06,S20&lt;&gt;"",S20&lt;0.08),"Profil homogene — specificite d'allure vers la cible.",BA20="","Ajouter un T50 a la prochaine Batterie A.",TRUE,"Profil coherent. Voir consigne_charge pour deload / retest."))</f>
        <v/>
      </c>
      <c r="X20" s="20">
        <f>IF($A20="","",COUNTIFS(tblSeances[id_nageur],$A20,tblSeances[lundi],(TODAY()-WEEKDAY(TODAY(),3)),tblSeances[faite],"oui")&amp;"/"&amp;IFERROR(INDEX(tblNageurs[seances_sem],MATCH($A20,tblNageurs[id],0)),""))</f>
        <v/>
      </c>
      <c r="Y20" s="25">
        <f>IF($A20="","",SUMIFS(tblSeances[volume_m],tblSeances[id_nageur],$A20,tblSeances[lundi],(TODAY()-WEEKDAY(TODAY(),3)),tblSeances[faite],"oui"))</f>
        <v/>
      </c>
      <c r="Z20" s="20">
        <f>IF($A20="","",TEXT(SUMIFS(tblSeances[volume_m],tblSeances[id_nageur],$A20,tblSeances[lundi],(TODAY()-WEEKDAY(TODAY(),3)),tblSeances[faite],"oui"),"0")&amp;" / "&amp;TEXT(SUMIFS(tblSeances[volume_m],tblSeances[id_nageur],$A20,tblSeances[lundi],(TODAY()-WEEKDAY(TODAY(),3))-7,tblSeances[faite],"oui"),"0")&amp;" / "&amp;TEXT(SUMIFS(tblSeances[volume_m],tblSeances[id_nageur],$A20,tblSeances[lundi],(TODAY()-WEEKDAY(TODAY(),3))-14,tblSeances[faite],"oui"),"0"))</f>
        <v/>
      </c>
      <c r="AA20" s="20">
        <f>IF($A20="","",IFERROR(INDEX(FILTER(CHARGE!L$3:L$82,(CHARGE!A$3:A$82=$A20)*(CHARGE!B$3:B$82=(TODAY()-WEEKDAY(TODAY(),3)))),1),""))</f>
        <v/>
      </c>
      <c r="AB20" s="20">
        <f>IF($A20="","",IFERROR(INDEX(FILTER(CHARGE!M$3:M$82,(CHARGE!A$3:A$82=$A20)*(CHARGE!B$3:B$82=(TODAY()-WEEKDAY(TODAY(),3)))),1),""))</f>
        <v/>
      </c>
      <c r="AC20" s="22">
        <f>IF($A20="","",IFERROR(INDEX(FILTER(CHARGE!N$3:N$82,(CHARGE!A$3:A$82=$A20)*(CHARGE!B$3:B$82=(TODAY()-WEEKDAY(TODAY(),3)))),1),""))</f>
        <v/>
      </c>
      <c r="BA20" s="19">
        <f>IF($A20="","",IFERROR(INDEX(FILTER(tblTests[temps_sec],(tblTests[id_nageur]=$A20)*(tblTests[protocole]="T50")*(tblTests[nage]=$F20)*(tblTests[valide]="oui")*(tblTests[date]=MAXIFS(tblTests[date],tblTests[id_nageur],$A20,tblTests[protocole],"T50",tblTests[nage],$F20,tblTests[valide],"oui"))),1),""))</f>
        <v/>
      </c>
      <c r="BB20" s="19">
        <f>IF($A20="","",IFERROR(INDEX(FILTER(tblTests[temps_sec],(tblTests[id_nageur]=$A20)*(tblTests[protocole]="T100")*(tblTests[nage]=$F20)*(tblTests[valide]="oui")*(tblTests[date]=MAXIFS(tblTests[date],tblTests[id_nageur],$A20,tblTests[protocole],"T100",tblTests[nage],$F20,tblTests[valide],"oui"))),1),""))</f>
        <v/>
      </c>
      <c r="BC20" s="19">
        <f>IF($A20="","",IFERROR(INDEX(FILTER(tblTests[temps_sec],(tblTests[id_nageur]=$A20)*(tblTests[protocole]="T200")*(tblTests[nage]=$F20)*(tblTests[valide]="oui")*(tblTests[date]=MAXIFS(tblTests[date],tblTests[id_nageur],$A20,tblTests[protocole],"T200",tblTests[nage],$F20,tblTests[valide],"oui"))),1),""))</f>
        <v/>
      </c>
      <c r="BD20" s="19">
        <f>IF($A20="","",IFERROR(INDEX(FILTER(tblTests[temps_sec],(tblTests[id_nageur]=$A20)*(tblTests[protocole]="T400")*(tblTests[nage]=$F20)*(tblTests[valide]="oui")*(tblTests[date]=MAXIFS(tblTests[date],tblTests[id_nageur],$A20,tblTests[protocole],"T400",tblTests[nage],$F20,tblTests[valide],"oui"))),1),""))</f>
        <v/>
      </c>
      <c r="BE20" s="19">
        <f>IF($A20="","",IFERROR(INDEX(FILTER(tblTests[temps_sec],(tblTests[id_nageur]=$A20)*(tblTests[protocole]="T100")*(tblTests[nage]=$F20)*(tblTests[valide]="oui")*(tblTests[date]=IFERROR(LARGE(FILTER(tblTests[date],(tblTests[id_nageur]=$A20)*(tblTests[protocole]="T100")*(tblTests[nage]=$F20)*(tblTests[valide]="oui")),2),0))),1),""))</f>
        <v/>
      </c>
      <c r="BF20" s="14">
        <f>IF($A20="","",IFERROR(MAXIFS(tblTests[date],tblTests[id_nageur],$A20,tblTests[protocole],"T100",tblTests[nage],$F20,tblTests[valide],"oui"),""))</f>
        <v/>
      </c>
    </row>
    <row r="21" ht="36" customHeight="1">
      <c r="A21" s="13">
        <f>IFERROR(IF(INDEX(tblNageurs[id],19)="","",INDEX(tblNageurs[id],19)),"")</f>
        <v/>
      </c>
      <c r="B21" s="13">
        <f>IF($A21="","",IFERROR(INDEX(tblNageurs[prenom],19),""))</f>
        <v/>
      </c>
      <c r="C21" s="13">
        <f>IF($A21="","",IFERROR(INDEX(tblNageurs[nom],19),""))</f>
        <v/>
      </c>
      <c r="D21" s="13">
        <f>IF($A21="","",IFERROR(INDEX(tblNageurs[niveau],19),""))</f>
        <v/>
      </c>
      <c r="E21" s="13">
        <f>IF($A21="","",IFERROR(INDEX(tblNageurs[statut],19),""))</f>
        <v/>
      </c>
      <c r="F21" s="13">
        <f>IF($A21="","",IF(OR($H21="dos",$H21="brasse",$H21="papillon"),$H21,"crawl"))</f>
        <v/>
      </c>
      <c r="G21" s="13">
        <f>IF($A21="","",IFERROR(XLOOKUP($A21,tblObjectifs[cle_dashboard],tblObjectifs[discipline],""),""))</f>
        <v/>
      </c>
      <c r="H21" s="13">
        <f>IF($A21="","",IFERROR(XLOOKUP($A21,tblObjectifs[cle_dashboard],tblObjectifs[nage],""),""))</f>
        <v/>
      </c>
      <c r="I21" s="13">
        <f>IF($A21="","",IFERROR(XLOOKUP($A21,tblObjectifs[cle_dashboard],tblObjectifs[distance_m],""),""))</f>
        <v/>
      </c>
      <c r="J21" s="14">
        <f>IF($A21="","",IFERROR(XLOOKUP($A21,tblObjectifs[cle_dashboard],tblObjectifs[date_objectif],""),""))</f>
        <v/>
      </c>
      <c r="K21" s="15">
        <f>IF($A21="","",IFERROR(XLOOKUP($A21,tblObjectifs[cle_dashboard],tblObjectifs[lieu],""),""))</f>
        <v/>
      </c>
      <c r="L21" s="13">
        <f>IF($A21="","",IFERROR(XLOOKUP($A21,tblObjectifs[cle_dashboard],tblObjectifs[temps_cible],""),""))</f>
        <v/>
      </c>
      <c r="M21" s="16">
        <f>IF(OR($A21="",$J21=""),"",($J21-TODAY())/7)</f>
        <v/>
      </c>
      <c r="N21" s="13">
        <f>IF(BA21="","",INT(BA21/60)&amp;":"&amp;TEXT(MOD(BA21,60),"00.00"))</f>
        <v/>
      </c>
      <c r="O21" s="13">
        <f>IF(BB21="","",INT(BB21/60)&amp;":"&amp;TEXT(MOD(BB21,60),"00.00"))</f>
        <v/>
      </c>
      <c r="P21" s="13">
        <f>IF(BC21="","",INT(BC21/60)&amp;":"&amp;TEXT(MOD(BC21,60),"00.00"))</f>
        <v/>
      </c>
      <c r="Q21" s="13">
        <f>IF(BD21="","",INT(BD21/60)&amp;":"&amp;TEXT(MOD(BD21,60),"00.00"))</f>
        <v/>
      </c>
      <c r="R21" s="17">
        <f>IF(OR(BB21="",BE21=""),"",(BB21-BE21)/BE21)</f>
        <v/>
      </c>
      <c r="S21" s="17">
        <f>IF(OR(BA21="",BB21=""),"",BB21/(2*BA21)-1)</f>
        <v/>
      </c>
      <c r="T21" s="17">
        <f>IF(OR(BB21="",BD21=""),"",BD21/(4*BB21)-1)</f>
        <v/>
      </c>
      <c r="U21" s="13">
        <f>IF(OR(BC21="",BD21=""),"",INT(((BD21-BC21)/2)/60)&amp;":"&amp;TEXT(MOD((BD21-BC21)/2,60),"00.00"))</f>
        <v/>
      </c>
      <c r="V21" s="16">
        <f>IF(BB21="","",ROUND(BB21,1))</f>
        <v/>
      </c>
      <c r="W21" s="15">
        <f>IF($A21="","",IFS(BB21="","Pas de T100 valide — Batterie A (T50 + T100).",AND(M21&lt;&gt;"",M21&lt;=3),"Affutage (&lt; 3 sem) — plus de test a fond. Allure de course.",AND(S21&lt;&gt;"",S21&gt;0.1),"Vitesse OK, il casse sur 100 (lactique / pacing / technique).",AND(T21&lt;&gt;"",T21&gt;0.12),"Manque aerobie / seuil — Batterie B (T200+T400) et series CSS.",AND(T21&lt;&gt;"",T21&lt;0.06,S21&lt;&gt;"",S21&lt;0.08),"Profil homogene — specificite d'allure vers la cible.",BA21="","Ajouter un T50 a la prochaine Batterie A.",TRUE,"Profil coherent. Voir consigne_charge pour deload / retest."))</f>
        <v/>
      </c>
      <c r="X21" s="13">
        <f>IF($A21="","",COUNTIFS(tblSeances[id_nageur],$A21,tblSeances[lundi],(TODAY()-WEEKDAY(TODAY(),3)),tblSeances[faite],"oui")&amp;"/"&amp;IFERROR(INDEX(tblNageurs[seances_sem],MATCH($A21,tblNageurs[id],0)),""))</f>
        <v/>
      </c>
      <c r="Y21" s="18">
        <f>IF($A21="","",SUMIFS(tblSeances[volume_m],tblSeances[id_nageur],$A21,tblSeances[lundi],(TODAY()-WEEKDAY(TODAY(),3)),tblSeances[faite],"oui"))</f>
        <v/>
      </c>
      <c r="Z21" s="13">
        <f>IF($A21="","",TEXT(SUMIFS(tblSeances[volume_m],tblSeances[id_nageur],$A21,tblSeances[lundi],(TODAY()-WEEKDAY(TODAY(),3)),tblSeances[faite],"oui"),"0")&amp;" / "&amp;TEXT(SUMIFS(tblSeances[volume_m],tblSeances[id_nageur],$A21,tblSeances[lundi],(TODAY()-WEEKDAY(TODAY(),3))-7,tblSeances[faite],"oui"),"0")&amp;" / "&amp;TEXT(SUMIFS(tblSeances[volume_m],tblSeances[id_nageur],$A21,tblSeances[lundi],(TODAY()-WEEKDAY(TODAY(),3))-14,tblSeances[faite],"oui"),"0"))</f>
        <v/>
      </c>
      <c r="AA21" s="13">
        <f>IF($A21="","",IFERROR(INDEX(FILTER(CHARGE!L$3:L$82,(CHARGE!A$3:A$82=$A21)*(CHARGE!B$3:B$82=(TODAY()-WEEKDAY(TODAY(),3)))),1),""))</f>
        <v/>
      </c>
      <c r="AB21" s="13">
        <f>IF($A21="","",IFERROR(INDEX(FILTER(CHARGE!M$3:M$82,(CHARGE!A$3:A$82=$A21)*(CHARGE!B$3:B$82=(TODAY()-WEEKDAY(TODAY(),3)))),1),""))</f>
        <v/>
      </c>
      <c r="AC21" s="15">
        <f>IF($A21="","",IFERROR(INDEX(FILTER(CHARGE!N$3:N$82,(CHARGE!A$3:A$82=$A21)*(CHARGE!B$3:B$82=(TODAY()-WEEKDAY(TODAY(),3)))),1),""))</f>
        <v/>
      </c>
      <c r="BA21" s="19">
        <f>IF($A21="","",IFERROR(INDEX(FILTER(tblTests[temps_sec],(tblTests[id_nageur]=$A21)*(tblTests[protocole]="T50")*(tblTests[nage]=$F21)*(tblTests[valide]="oui")*(tblTests[date]=MAXIFS(tblTests[date],tblTests[id_nageur],$A21,tblTests[protocole],"T50",tblTests[nage],$F21,tblTests[valide],"oui"))),1),""))</f>
        <v/>
      </c>
      <c r="BB21" s="19">
        <f>IF($A21="","",IFERROR(INDEX(FILTER(tblTests[temps_sec],(tblTests[id_nageur]=$A21)*(tblTests[protocole]="T100")*(tblTests[nage]=$F21)*(tblTests[valide]="oui")*(tblTests[date]=MAXIFS(tblTests[date],tblTests[id_nageur],$A21,tblTests[protocole],"T100",tblTests[nage],$F21,tblTests[valide],"oui"))),1),""))</f>
        <v/>
      </c>
      <c r="BC21" s="19">
        <f>IF($A21="","",IFERROR(INDEX(FILTER(tblTests[temps_sec],(tblTests[id_nageur]=$A21)*(tblTests[protocole]="T200")*(tblTests[nage]=$F21)*(tblTests[valide]="oui")*(tblTests[date]=MAXIFS(tblTests[date],tblTests[id_nageur],$A21,tblTests[protocole],"T200",tblTests[nage],$F21,tblTests[valide],"oui"))),1),""))</f>
        <v/>
      </c>
      <c r="BD21" s="19">
        <f>IF($A21="","",IFERROR(INDEX(FILTER(tblTests[temps_sec],(tblTests[id_nageur]=$A21)*(tblTests[protocole]="T400")*(tblTests[nage]=$F21)*(tblTests[valide]="oui")*(tblTests[date]=MAXIFS(tblTests[date],tblTests[id_nageur],$A21,tblTests[protocole],"T400",tblTests[nage],$F21,tblTests[valide],"oui"))),1),""))</f>
        <v/>
      </c>
      <c r="BE21" s="19">
        <f>IF($A21="","",IFERROR(INDEX(FILTER(tblTests[temps_sec],(tblTests[id_nageur]=$A21)*(tblTests[protocole]="T100")*(tblTests[nage]=$F21)*(tblTests[valide]="oui")*(tblTests[date]=IFERROR(LARGE(FILTER(tblTests[date],(tblTests[id_nageur]=$A21)*(tblTests[protocole]="T100")*(tblTests[nage]=$F21)*(tblTests[valide]="oui")),2),0))),1),""))</f>
        <v/>
      </c>
      <c r="BF21" s="14">
        <f>IF($A21="","",IFERROR(MAXIFS(tblTests[date],tblTests[id_nageur],$A21,tblTests[protocole],"T100",tblTests[nage],$F21,tblTests[valide],"oui"),""))</f>
        <v/>
      </c>
    </row>
    <row r="22" ht="36" customHeight="1">
      <c r="A22" s="20">
        <f>IFERROR(IF(INDEX(tblNageurs[id],20)="","",INDEX(tblNageurs[id],20)),"")</f>
        <v/>
      </c>
      <c r="B22" s="20">
        <f>IF($A22="","",IFERROR(INDEX(tblNageurs[prenom],20),""))</f>
        <v/>
      </c>
      <c r="C22" s="20">
        <f>IF($A22="","",IFERROR(INDEX(tblNageurs[nom],20),""))</f>
        <v/>
      </c>
      <c r="D22" s="20">
        <f>IF($A22="","",IFERROR(INDEX(tblNageurs[niveau],20),""))</f>
        <v/>
      </c>
      <c r="E22" s="20">
        <f>IF($A22="","",IFERROR(INDEX(tblNageurs[statut],20),""))</f>
        <v/>
      </c>
      <c r="F22" s="20">
        <f>IF($A22="","",IF(OR($H22="dos",$H22="brasse",$H22="papillon"),$H22,"crawl"))</f>
        <v/>
      </c>
      <c r="G22" s="20">
        <f>IF($A22="","",IFERROR(XLOOKUP($A22,tblObjectifs[cle_dashboard],tblObjectifs[discipline],""),""))</f>
        <v/>
      </c>
      <c r="H22" s="20">
        <f>IF($A22="","",IFERROR(XLOOKUP($A22,tblObjectifs[cle_dashboard],tblObjectifs[nage],""),""))</f>
        <v/>
      </c>
      <c r="I22" s="20">
        <f>IF($A22="","",IFERROR(XLOOKUP($A22,tblObjectifs[cle_dashboard],tblObjectifs[distance_m],""),""))</f>
        <v/>
      </c>
      <c r="J22" s="21">
        <f>IF($A22="","",IFERROR(XLOOKUP($A22,tblObjectifs[cle_dashboard],tblObjectifs[date_objectif],""),""))</f>
        <v/>
      </c>
      <c r="K22" s="22">
        <f>IF($A22="","",IFERROR(XLOOKUP($A22,tblObjectifs[cle_dashboard],tblObjectifs[lieu],""),""))</f>
        <v/>
      </c>
      <c r="L22" s="20">
        <f>IF($A22="","",IFERROR(XLOOKUP($A22,tblObjectifs[cle_dashboard],tblObjectifs[temps_cible],""),""))</f>
        <v/>
      </c>
      <c r="M22" s="23">
        <f>IF(OR($A22="",$J22=""),"",($J22-TODAY())/7)</f>
        <v/>
      </c>
      <c r="N22" s="20">
        <f>IF(BA22="","",INT(BA22/60)&amp;":"&amp;TEXT(MOD(BA22,60),"00.00"))</f>
        <v/>
      </c>
      <c r="O22" s="20">
        <f>IF(BB22="","",INT(BB22/60)&amp;":"&amp;TEXT(MOD(BB22,60),"00.00"))</f>
        <v/>
      </c>
      <c r="P22" s="20">
        <f>IF(BC22="","",INT(BC22/60)&amp;":"&amp;TEXT(MOD(BC22,60),"00.00"))</f>
        <v/>
      </c>
      <c r="Q22" s="20">
        <f>IF(BD22="","",INT(BD22/60)&amp;":"&amp;TEXT(MOD(BD22,60),"00.00"))</f>
        <v/>
      </c>
      <c r="R22" s="24">
        <f>IF(OR(BB22="",BE22=""),"",(BB22-BE22)/BE22)</f>
        <v/>
      </c>
      <c r="S22" s="24">
        <f>IF(OR(BA22="",BB22=""),"",BB22/(2*BA22)-1)</f>
        <v/>
      </c>
      <c r="T22" s="24">
        <f>IF(OR(BB22="",BD22=""),"",BD22/(4*BB22)-1)</f>
        <v/>
      </c>
      <c r="U22" s="20">
        <f>IF(OR(BC22="",BD22=""),"",INT(((BD22-BC22)/2)/60)&amp;":"&amp;TEXT(MOD((BD22-BC22)/2,60),"00.00"))</f>
        <v/>
      </c>
      <c r="V22" s="23">
        <f>IF(BB22="","",ROUND(BB22,1))</f>
        <v/>
      </c>
      <c r="W22" s="22">
        <f>IF($A22="","",IFS(BB22="","Pas de T100 valide — Batterie A (T50 + T100).",AND(M22&lt;&gt;"",M22&lt;=3),"Affutage (&lt; 3 sem) — plus de test a fond. Allure de course.",AND(S22&lt;&gt;"",S22&gt;0.1),"Vitesse OK, il casse sur 100 (lactique / pacing / technique).",AND(T22&lt;&gt;"",T22&gt;0.12),"Manque aerobie / seuil — Batterie B (T200+T400) et series CSS.",AND(T22&lt;&gt;"",T22&lt;0.06,S22&lt;&gt;"",S22&lt;0.08),"Profil homogene — specificite d'allure vers la cible.",BA22="","Ajouter un T50 a la prochaine Batterie A.",TRUE,"Profil coherent. Voir consigne_charge pour deload / retest."))</f>
        <v/>
      </c>
      <c r="X22" s="20">
        <f>IF($A22="","",COUNTIFS(tblSeances[id_nageur],$A22,tblSeances[lundi],(TODAY()-WEEKDAY(TODAY(),3)),tblSeances[faite],"oui")&amp;"/"&amp;IFERROR(INDEX(tblNageurs[seances_sem],MATCH($A22,tblNageurs[id],0)),""))</f>
        <v/>
      </c>
      <c r="Y22" s="25">
        <f>IF($A22="","",SUMIFS(tblSeances[volume_m],tblSeances[id_nageur],$A22,tblSeances[lundi],(TODAY()-WEEKDAY(TODAY(),3)),tblSeances[faite],"oui"))</f>
        <v/>
      </c>
      <c r="Z22" s="20">
        <f>IF($A22="","",TEXT(SUMIFS(tblSeances[volume_m],tblSeances[id_nageur],$A22,tblSeances[lundi],(TODAY()-WEEKDAY(TODAY(),3)),tblSeances[faite],"oui"),"0")&amp;" / "&amp;TEXT(SUMIFS(tblSeances[volume_m],tblSeances[id_nageur],$A22,tblSeances[lundi],(TODAY()-WEEKDAY(TODAY(),3))-7,tblSeances[faite],"oui"),"0")&amp;" / "&amp;TEXT(SUMIFS(tblSeances[volume_m],tblSeances[id_nageur],$A22,tblSeances[lundi],(TODAY()-WEEKDAY(TODAY(),3))-14,tblSeances[faite],"oui"),"0"))</f>
        <v/>
      </c>
      <c r="AA22" s="20">
        <f>IF($A22="","",IFERROR(INDEX(FILTER(CHARGE!L$3:L$82,(CHARGE!A$3:A$82=$A22)*(CHARGE!B$3:B$82=(TODAY()-WEEKDAY(TODAY(),3)))),1),""))</f>
        <v/>
      </c>
      <c r="AB22" s="20">
        <f>IF($A22="","",IFERROR(INDEX(FILTER(CHARGE!M$3:M$82,(CHARGE!A$3:A$82=$A22)*(CHARGE!B$3:B$82=(TODAY()-WEEKDAY(TODAY(),3)))),1),""))</f>
        <v/>
      </c>
      <c r="AC22" s="22">
        <f>IF($A22="","",IFERROR(INDEX(FILTER(CHARGE!N$3:N$82,(CHARGE!A$3:A$82=$A22)*(CHARGE!B$3:B$82=(TODAY()-WEEKDAY(TODAY(),3)))),1),""))</f>
        <v/>
      </c>
      <c r="BA22" s="19">
        <f>IF($A22="","",IFERROR(INDEX(FILTER(tblTests[temps_sec],(tblTests[id_nageur]=$A22)*(tblTests[protocole]="T50")*(tblTests[nage]=$F22)*(tblTests[valide]="oui")*(tblTests[date]=MAXIFS(tblTests[date],tblTests[id_nageur],$A22,tblTests[protocole],"T50",tblTests[nage],$F22,tblTests[valide],"oui"))),1),""))</f>
        <v/>
      </c>
      <c r="BB22" s="19">
        <f>IF($A22="","",IFERROR(INDEX(FILTER(tblTests[temps_sec],(tblTests[id_nageur]=$A22)*(tblTests[protocole]="T100")*(tblTests[nage]=$F22)*(tblTests[valide]="oui")*(tblTests[date]=MAXIFS(tblTests[date],tblTests[id_nageur],$A22,tblTests[protocole],"T100",tblTests[nage],$F22,tblTests[valide],"oui"))),1),""))</f>
        <v/>
      </c>
      <c r="BC22" s="19">
        <f>IF($A22="","",IFERROR(INDEX(FILTER(tblTests[temps_sec],(tblTests[id_nageur]=$A22)*(tblTests[protocole]="T200")*(tblTests[nage]=$F22)*(tblTests[valide]="oui")*(tblTests[date]=MAXIFS(tblTests[date],tblTests[id_nageur],$A22,tblTests[protocole],"T200",tblTests[nage],$F22,tblTests[valide],"oui"))),1),""))</f>
        <v/>
      </c>
      <c r="BD22" s="19">
        <f>IF($A22="","",IFERROR(INDEX(FILTER(tblTests[temps_sec],(tblTests[id_nageur]=$A22)*(tblTests[protocole]="T400")*(tblTests[nage]=$F22)*(tblTests[valide]="oui")*(tblTests[date]=MAXIFS(tblTests[date],tblTests[id_nageur],$A22,tblTests[protocole],"T400",tblTests[nage],$F22,tblTests[valide],"oui"))),1),""))</f>
        <v/>
      </c>
      <c r="BE22" s="19">
        <f>IF($A22="","",IFERROR(INDEX(FILTER(tblTests[temps_sec],(tblTests[id_nageur]=$A22)*(tblTests[protocole]="T100")*(tblTests[nage]=$F22)*(tblTests[valide]="oui")*(tblTests[date]=IFERROR(LARGE(FILTER(tblTests[date],(tblTests[id_nageur]=$A22)*(tblTests[protocole]="T100")*(tblTests[nage]=$F22)*(tblTests[valide]="oui")),2),0))),1),""))</f>
        <v/>
      </c>
      <c r="BF22" s="14">
        <f>IF($A22="","",IFERROR(MAXIFS(tblTests[date],tblTests[id_nageur],$A22,tblTests[protocole],"T100",tblTests[nage],$F22,tblTests[valide],"oui"),""))</f>
        <v/>
      </c>
    </row>
    <row r="23" ht="36" customHeight="1">
      <c r="A23" s="13">
        <f>IFERROR(IF(INDEX(tblNageurs[id],21)="","",INDEX(tblNageurs[id],21)),"")</f>
        <v/>
      </c>
      <c r="B23" s="13">
        <f>IF($A23="","",IFERROR(INDEX(tblNageurs[prenom],21),""))</f>
        <v/>
      </c>
      <c r="C23" s="13">
        <f>IF($A23="","",IFERROR(INDEX(tblNageurs[nom],21),""))</f>
        <v/>
      </c>
      <c r="D23" s="13">
        <f>IF($A23="","",IFERROR(INDEX(tblNageurs[niveau],21),""))</f>
        <v/>
      </c>
      <c r="E23" s="13">
        <f>IF($A23="","",IFERROR(INDEX(tblNageurs[statut],21),""))</f>
        <v/>
      </c>
      <c r="F23" s="13">
        <f>IF($A23="","",IF(OR($H23="dos",$H23="brasse",$H23="papillon"),$H23,"crawl"))</f>
        <v/>
      </c>
      <c r="G23" s="13">
        <f>IF($A23="","",IFERROR(XLOOKUP($A23,tblObjectifs[cle_dashboard],tblObjectifs[discipline],""),""))</f>
        <v/>
      </c>
      <c r="H23" s="13">
        <f>IF($A23="","",IFERROR(XLOOKUP($A23,tblObjectifs[cle_dashboard],tblObjectifs[nage],""),""))</f>
        <v/>
      </c>
      <c r="I23" s="13">
        <f>IF($A23="","",IFERROR(XLOOKUP($A23,tblObjectifs[cle_dashboard],tblObjectifs[distance_m],""),""))</f>
        <v/>
      </c>
      <c r="J23" s="14">
        <f>IF($A23="","",IFERROR(XLOOKUP($A23,tblObjectifs[cle_dashboard],tblObjectifs[date_objectif],""),""))</f>
        <v/>
      </c>
      <c r="K23" s="15">
        <f>IF($A23="","",IFERROR(XLOOKUP($A23,tblObjectifs[cle_dashboard],tblObjectifs[lieu],""),""))</f>
        <v/>
      </c>
      <c r="L23" s="13">
        <f>IF($A23="","",IFERROR(XLOOKUP($A23,tblObjectifs[cle_dashboard],tblObjectifs[temps_cible],""),""))</f>
        <v/>
      </c>
      <c r="M23" s="16">
        <f>IF(OR($A23="",$J23=""),"",($J23-TODAY())/7)</f>
        <v/>
      </c>
      <c r="N23" s="13">
        <f>IF(BA23="","",INT(BA23/60)&amp;":"&amp;TEXT(MOD(BA23,60),"00.00"))</f>
        <v/>
      </c>
      <c r="O23" s="13">
        <f>IF(BB23="","",INT(BB23/60)&amp;":"&amp;TEXT(MOD(BB23,60),"00.00"))</f>
        <v/>
      </c>
      <c r="P23" s="13">
        <f>IF(BC23="","",INT(BC23/60)&amp;":"&amp;TEXT(MOD(BC23,60),"00.00"))</f>
        <v/>
      </c>
      <c r="Q23" s="13">
        <f>IF(BD23="","",INT(BD23/60)&amp;":"&amp;TEXT(MOD(BD23,60),"00.00"))</f>
        <v/>
      </c>
      <c r="R23" s="17">
        <f>IF(OR(BB23="",BE23=""),"",(BB23-BE23)/BE23)</f>
        <v/>
      </c>
      <c r="S23" s="17">
        <f>IF(OR(BA23="",BB23=""),"",BB23/(2*BA23)-1)</f>
        <v/>
      </c>
      <c r="T23" s="17">
        <f>IF(OR(BB23="",BD23=""),"",BD23/(4*BB23)-1)</f>
        <v/>
      </c>
      <c r="U23" s="13">
        <f>IF(OR(BC23="",BD23=""),"",INT(((BD23-BC23)/2)/60)&amp;":"&amp;TEXT(MOD((BD23-BC23)/2,60),"00.00"))</f>
        <v/>
      </c>
      <c r="V23" s="16">
        <f>IF(BB23="","",ROUND(BB23,1))</f>
        <v/>
      </c>
      <c r="W23" s="15">
        <f>IF($A23="","",IFS(BB23="","Pas de T100 valide — Batterie A (T50 + T100).",AND(M23&lt;&gt;"",M23&lt;=3),"Affutage (&lt; 3 sem) — plus de test a fond. Allure de course.",AND(S23&lt;&gt;"",S23&gt;0.1),"Vitesse OK, il casse sur 100 (lactique / pacing / technique).",AND(T23&lt;&gt;"",T23&gt;0.12),"Manque aerobie / seuil — Batterie B (T200+T400) et series CSS.",AND(T23&lt;&gt;"",T23&lt;0.06,S23&lt;&gt;"",S23&lt;0.08),"Profil homogene — specificite d'allure vers la cible.",BA23="","Ajouter un T50 a la prochaine Batterie A.",TRUE,"Profil coherent. Voir consigne_charge pour deload / retest."))</f>
        <v/>
      </c>
      <c r="X23" s="13">
        <f>IF($A23="","",COUNTIFS(tblSeances[id_nageur],$A23,tblSeances[lundi],(TODAY()-WEEKDAY(TODAY(),3)),tblSeances[faite],"oui")&amp;"/"&amp;IFERROR(INDEX(tblNageurs[seances_sem],MATCH($A23,tblNageurs[id],0)),""))</f>
        <v/>
      </c>
      <c r="Y23" s="18">
        <f>IF($A23="","",SUMIFS(tblSeances[volume_m],tblSeances[id_nageur],$A23,tblSeances[lundi],(TODAY()-WEEKDAY(TODAY(),3)),tblSeances[faite],"oui"))</f>
        <v/>
      </c>
      <c r="Z23" s="13">
        <f>IF($A23="","",TEXT(SUMIFS(tblSeances[volume_m],tblSeances[id_nageur],$A23,tblSeances[lundi],(TODAY()-WEEKDAY(TODAY(),3)),tblSeances[faite],"oui"),"0")&amp;" / "&amp;TEXT(SUMIFS(tblSeances[volume_m],tblSeances[id_nageur],$A23,tblSeances[lundi],(TODAY()-WEEKDAY(TODAY(),3))-7,tblSeances[faite],"oui"),"0")&amp;" / "&amp;TEXT(SUMIFS(tblSeances[volume_m],tblSeances[id_nageur],$A23,tblSeances[lundi],(TODAY()-WEEKDAY(TODAY(),3))-14,tblSeances[faite],"oui"),"0"))</f>
        <v/>
      </c>
      <c r="AA23" s="13">
        <f>IF($A23="","",IFERROR(INDEX(FILTER(CHARGE!L$3:L$82,(CHARGE!A$3:A$82=$A23)*(CHARGE!B$3:B$82=(TODAY()-WEEKDAY(TODAY(),3)))),1),""))</f>
        <v/>
      </c>
      <c r="AB23" s="13">
        <f>IF($A23="","",IFERROR(INDEX(FILTER(CHARGE!M$3:M$82,(CHARGE!A$3:A$82=$A23)*(CHARGE!B$3:B$82=(TODAY()-WEEKDAY(TODAY(),3)))),1),""))</f>
        <v/>
      </c>
      <c r="AC23" s="15">
        <f>IF($A23="","",IFERROR(INDEX(FILTER(CHARGE!N$3:N$82,(CHARGE!A$3:A$82=$A23)*(CHARGE!B$3:B$82=(TODAY()-WEEKDAY(TODAY(),3)))),1),""))</f>
        <v/>
      </c>
      <c r="BA23" s="19">
        <f>IF($A23="","",IFERROR(INDEX(FILTER(tblTests[temps_sec],(tblTests[id_nageur]=$A23)*(tblTests[protocole]="T50")*(tblTests[nage]=$F23)*(tblTests[valide]="oui")*(tblTests[date]=MAXIFS(tblTests[date],tblTests[id_nageur],$A23,tblTests[protocole],"T50",tblTests[nage],$F23,tblTests[valide],"oui"))),1),""))</f>
        <v/>
      </c>
      <c r="BB23" s="19">
        <f>IF($A23="","",IFERROR(INDEX(FILTER(tblTests[temps_sec],(tblTests[id_nageur]=$A23)*(tblTests[protocole]="T100")*(tblTests[nage]=$F23)*(tblTests[valide]="oui")*(tblTests[date]=MAXIFS(tblTests[date],tblTests[id_nageur],$A23,tblTests[protocole],"T100",tblTests[nage],$F23,tblTests[valide],"oui"))),1),""))</f>
        <v/>
      </c>
      <c r="BC23" s="19">
        <f>IF($A23="","",IFERROR(INDEX(FILTER(tblTests[temps_sec],(tblTests[id_nageur]=$A23)*(tblTests[protocole]="T200")*(tblTests[nage]=$F23)*(tblTests[valide]="oui")*(tblTests[date]=MAXIFS(tblTests[date],tblTests[id_nageur],$A23,tblTests[protocole],"T200",tblTests[nage],$F23,tblTests[valide],"oui"))),1),""))</f>
        <v/>
      </c>
      <c r="BD23" s="19">
        <f>IF($A23="","",IFERROR(INDEX(FILTER(tblTests[temps_sec],(tblTests[id_nageur]=$A23)*(tblTests[protocole]="T400")*(tblTests[nage]=$F23)*(tblTests[valide]="oui")*(tblTests[date]=MAXIFS(tblTests[date],tblTests[id_nageur],$A23,tblTests[protocole],"T400",tblTests[nage],$F23,tblTests[valide],"oui"))),1),""))</f>
        <v/>
      </c>
      <c r="BE23" s="19">
        <f>IF($A23="","",IFERROR(INDEX(FILTER(tblTests[temps_sec],(tblTests[id_nageur]=$A23)*(tblTests[protocole]="T100")*(tblTests[nage]=$F23)*(tblTests[valide]="oui")*(tblTests[date]=IFERROR(LARGE(FILTER(tblTests[date],(tblTests[id_nageur]=$A23)*(tblTests[protocole]="T100")*(tblTests[nage]=$F23)*(tblTests[valide]="oui")),2),0))),1),""))</f>
        <v/>
      </c>
      <c r="BF23" s="14">
        <f>IF($A23="","",IFERROR(MAXIFS(tblTests[date],tblTests[id_nageur],$A23,tblTests[protocole],"T100",tblTests[nage],$F23,tblTests[valide],"oui"),""))</f>
        <v/>
      </c>
    </row>
    <row r="24" ht="36" customHeight="1">
      <c r="A24" s="20">
        <f>IFERROR(IF(INDEX(tblNageurs[id],22)="","",INDEX(tblNageurs[id],22)),"")</f>
        <v/>
      </c>
      <c r="B24" s="20">
        <f>IF($A24="","",IFERROR(INDEX(tblNageurs[prenom],22),""))</f>
        <v/>
      </c>
      <c r="C24" s="20">
        <f>IF($A24="","",IFERROR(INDEX(tblNageurs[nom],22),""))</f>
        <v/>
      </c>
      <c r="D24" s="20">
        <f>IF($A24="","",IFERROR(INDEX(tblNageurs[niveau],22),""))</f>
        <v/>
      </c>
      <c r="E24" s="20">
        <f>IF($A24="","",IFERROR(INDEX(tblNageurs[statut],22),""))</f>
        <v/>
      </c>
      <c r="F24" s="20">
        <f>IF($A24="","",IF(OR($H24="dos",$H24="brasse",$H24="papillon"),$H24,"crawl"))</f>
        <v/>
      </c>
      <c r="G24" s="20">
        <f>IF($A24="","",IFERROR(XLOOKUP($A24,tblObjectifs[cle_dashboard],tblObjectifs[discipline],""),""))</f>
        <v/>
      </c>
      <c r="H24" s="20">
        <f>IF($A24="","",IFERROR(XLOOKUP($A24,tblObjectifs[cle_dashboard],tblObjectifs[nage],""),""))</f>
        <v/>
      </c>
      <c r="I24" s="20">
        <f>IF($A24="","",IFERROR(XLOOKUP($A24,tblObjectifs[cle_dashboard],tblObjectifs[distance_m],""),""))</f>
        <v/>
      </c>
      <c r="J24" s="21">
        <f>IF($A24="","",IFERROR(XLOOKUP($A24,tblObjectifs[cle_dashboard],tblObjectifs[date_objectif],""),""))</f>
        <v/>
      </c>
      <c r="K24" s="22">
        <f>IF($A24="","",IFERROR(XLOOKUP($A24,tblObjectifs[cle_dashboard],tblObjectifs[lieu],""),""))</f>
        <v/>
      </c>
      <c r="L24" s="20">
        <f>IF($A24="","",IFERROR(XLOOKUP($A24,tblObjectifs[cle_dashboard],tblObjectifs[temps_cible],""),""))</f>
        <v/>
      </c>
      <c r="M24" s="23">
        <f>IF(OR($A24="",$J24=""),"",($J24-TODAY())/7)</f>
        <v/>
      </c>
      <c r="N24" s="20">
        <f>IF(BA24="","",INT(BA24/60)&amp;":"&amp;TEXT(MOD(BA24,60),"00.00"))</f>
        <v/>
      </c>
      <c r="O24" s="20">
        <f>IF(BB24="","",INT(BB24/60)&amp;":"&amp;TEXT(MOD(BB24,60),"00.00"))</f>
        <v/>
      </c>
      <c r="P24" s="20">
        <f>IF(BC24="","",INT(BC24/60)&amp;":"&amp;TEXT(MOD(BC24,60),"00.00"))</f>
        <v/>
      </c>
      <c r="Q24" s="20">
        <f>IF(BD24="","",INT(BD24/60)&amp;":"&amp;TEXT(MOD(BD24,60),"00.00"))</f>
        <v/>
      </c>
      <c r="R24" s="24">
        <f>IF(OR(BB24="",BE24=""),"",(BB24-BE24)/BE24)</f>
        <v/>
      </c>
      <c r="S24" s="24">
        <f>IF(OR(BA24="",BB24=""),"",BB24/(2*BA24)-1)</f>
        <v/>
      </c>
      <c r="T24" s="24">
        <f>IF(OR(BB24="",BD24=""),"",BD24/(4*BB24)-1)</f>
        <v/>
      </c>
      <c r="U24" s="20">
        <f>IF(OR(BC24="",BD24=""),"",INT(((BD24-BC24)/2)/60)&amp;":"&amp;TEXT(MOD((BD24-BC24)/2,60),"00.00"))</f>
        <v/>
      </c>
      <c r="V24" s="23">
        <f>IF(BB24="","",ROUND(BB24,1))</f>
        <v/>
      </c>
      <c r="W24" s="22">
        <f>IF($A24="","",IFS(BB24="","Pas de T100 valide — Batterie A (T50 + T100).",AND(M24&lt;&gt;"",M24&lt;=3),"Affutage (&lt; 3 sem) — plus de test a fond. Allure de course.",AND(S24&lt;&gt;"",S24&gt;0.1),"Vitesse OK, il casse sur 100 (lactique / pacing / technique).",AND(T24&lt;&gt;"",T24&gt;0.12),"Manque aerobie / seuil — Batterie B (T200+T400) et series CSS.",AND(T24&lt;&gt;"",T24&lt;0.06,S24&lt;&gt;"",S24&lt;0.08),"Profil homogene — specificite d'allure vers la cible.",BA24="","Ajouter un T50 a la prochaine Batterie A.",TRUE,"Profil coherent. Voir consigne_charge pour deload / retest."))</f>
        <v/>
      </c>
      <c r="X24" s="20">
        <f>IF($A24="","",COUNTIFS(tblSeances[id_nageur],$A24,tblSeances[lundi],(TODAY()-WEEKDAY(TODAY(),3)),tblSeances[faite],"oui")&amp;"/"&amp;IFERROR(INDEX(tblNageurs[seances_sem],MATCH($A24,tblNageurs[id],0)),""))</f>
        <v/>
      </c>
      <c r="Y24" s="25">
        <f>IF($A24="","",SUMIFS(tblSeances[volume_m],tblSeances[id_nageur],$A24,tblSeances[lundi],(TODAY()-WEEKDAY(TODAY(),3)),tblSeances[faite],"oui"))</f>
        <v/>
      </c>
      <c r="Z24" s="20">
        <f>IF($A24="","",TEXT(SUMIFS(tblSeances[volume_m],tblSeances[id_nageur],$A24,tblSeances[lundi],(TODAY()-WEEKDAY(TODAY(),3)),tblSeances[faite],"oui"),"0")&amp;" / "&amp;TEXT(SUMIFS(tblSeances[volume_m],tblSeances[id_nageur],$A24,tblSeances[lundi],(TODAY()-WEEKDAY(TODAY(),3))-7,tblSeances[faite],"oui"),"0")&amp;" / "&amp;TEXT(SUMIFS(tblSeances[volume_m],tblSeances[id_nageur],$A24,tblSeances[lundi],(TODAY()-WEEKDAY(TODAY(),3))-14,tblSeances[faite],"oui"),"0"))</f>
        <v/>
      </c>
      <c r="AA24" s="20">
        <f>IF($A24="","",IFERROR(INDEX(FILTER(CHARGE!L$3:L$82,(CHARGE!A$3:A$82=$A24)*(CHARGE!B$3:B$82=(TODAY()-WEEKDAY(TODAY(),3)))),1),""))</f>
        <v/>
      </c>
      <c r="AB24" s="20">
        <f>IF($A24="","",IFERROR(INDEX(FILTER(CHARGE!M$3:M$82,(CHARGE!A$3:A$82=$A24)*(CHARGE!B$3:B$82=(TODAY()-WEEKDAY(TODAY(),3)))),1),""))</f>
        <v/>
      </c>
      <c r="AC24" s="22">
        <f>IF($A24="","",IFERROR(INDEX(FILTER(CHARGE!N$3:N$82,(CHARGE!A$3:A$82=$A24)*(CHARGE!B$3:B$82=(TODAY()-WEEKDAY(TODAY(),3)))),1),""))</f>
        <v/>
      </c>
      <c r="BA24" s="19">
        <f>IF($A24="","",IFERROR(INDEX(FILTER(tblTests[temps_sec],(tblTests[id_nageur]=$A24)*(tblTests[protocole]="T50")*(tblTests[nage]=$F24)*(tblTests[valide]="oui")*(tblTests[date]=MAXIFS(tblTests[date],tblTests[id_nageur],$A24,tblTests[protocole],"T50",tblTests[nage],$F24,tblTests[valide],"oui"))),1),""))</f>
        <v/>
      </c>
      <c r="BB24" s="19">
        <f>IF($A24="","",IFERROR(INDEX(FILTER(tblTests[temps_sec],(tblTests[id_nageur]=$A24)*(tblTests[protocole]="T100")*(tblTests[nage]=$F24)*(tblTests[valide]="oui")*(tblTests[date]=MAXIFS(tblTests[date],tblTests[id_nageur],$A24,tblTests[protocole],"T100",tblTests[nage],$F24,tblTests[valide],"oui"))),1),""))</f>
        <v/>
      </c>
      <c r="BC24" s="19">
        <f>IF($A24="","",IFERROR(INDEX(FILTER(tblTests[temps_sec],(tblTests[id_nageur]=$A24)*(tblTests[protocole]="T200")*(tblTests[nage]=$F24)*(tblTests[valide]="oui")*(tblTests[date]=MAXIFS(tblTests[date],tblTests[id_nageur],$A24,tblTests[protocole],"T200",tblTests[nage],$F24,tblTests[valide],"oui"))),1),""))</f>
        <v/>
      </c>
      <c r="BD24" s="19">
        <f>IF($A24="","",IFERROR(INDEX(FILTER(tblTests[temps_sec],(tblTests[id_nageur]=$A24)*(tblTests[protocole]="T400")*(tblTests[nage]=$F24)*(tblTests[valide]="oui")*(tblTests[date]=MAXIFS(tblTests[date],tblTests[id_nageur],$A24,tblTests[protocole],"T400",tblTests[nage],$F24,tblTests[valide],"oui"))),1),""))</f>
        <v/>
      </c>
      <c r="BE24" s="19">
        <f>IF($A24="","",IFERROR(INDEX(FILTER(tblTests[temps_sec],(tblTests[id_nageur]=$A24)*(tblTests[protocole]="T100")*(tblTests[nage]=$F24)*(tblTests[valide]="oui")*(tblTests[date]=IFERROR(LARGE(FILTER(tblTests[date],(tblTests[id_nageur]=$A24)*(tblTests[protocole]="T100")*(tblTests[nage]=$F24)*(tblTests[valide]="oui")),2),0))),1),""))</f>
        <v/>
      </c>
      <c r="BF24" s="14">
        <f>IF($A24="","",IFERROR(MAXIFS(tblTests[date],tblTests[id_nageur],$A24,tblTests[protocole],"T100",tblTests[nage],$F24,tblTests[valide],"oui"),""))</f>
        <v/>
      </c>
    </row>
    <row r="26">
      <c r="A26" s="26" t="inlineStr">
        <is>
          <t>Δ T100 vert = progrès. Drop 100/50 &gt; 10 % ou 400/100 &gt; 12 % = levier. Deload due = alléger cette semaine. tester_A / tester_B = retest (jamais pendant deload). Détail semaine par semaine dans CHARGE. Exemples N001–N003 à remplacer.</t>
        </is>
      </c>
    </row>
  </sheetData>
  <autoFilter ref="A2:AC24"/>
  <mergeCells count="2">
    <mergeCell ref="A26:AC26"/>
    <mergeCell ref="A1:AC1"/>
  </mergeCells>
  <conditionalFormatting sqref="M3:M24">
    <cfRule type="cellIs" priority="1" operator="lessThan" dxfId="0">
      <formula>3</formula>
    </cfRule>
    <cfRule type="cellIs" priority="2" operator="between" dxfId="1">
      <formula>3</formula>
      <formula>8</formula>
    </cfRule>
    <cfRule type="cellIs" priority="3" operator="greaterThan" dxfId="2">
      <formula>8</formula>
    </cfRule>
  </conditionalFormatting>
  <conditionalFormatting sqref="R3:R24">
    <cfRule type="cellIs" priority="4" operator="lessThan" dxfId="2">
      <formula>0</formula>
    </cfRule>
    <cfRule type="cellIs" priority="5" operator="greaterThan" dxfId="0">
      <formula>0.015</formula>
    </cfRule>
  </conditionalFormatting>
  <conditionalFormatting sqref="S3:S24">
    <cfRule type="cellIs" priority="6" operator="greaterThan" dxfId="1">
      <formula>0.1</formula>
    </cfRule>
  </conditionalFormatting>
  <conditionalFormatting sqref="T3:T24">
    <cfRule type="cellIs" priority="7" operator="greaterThan" dxfId="1">
      <formula>0.12</formula>
    </cfRule>
  </conditionalFormatting>
  <conditionalFormatting sqref="E3:E24">
    <cfRule type="expression" priority="8" dxfId="2">
      <formula>E3="actif"</formula>
    </cfRule>
    <cfRule type="expression" priority="9" dxfId="3">
      <formula>E3="pause"</formula>
    </cfRule>
  </conditionalFormatting>
  <conditionalFormatting sqref="AA3:AA24">
    <cfRule type="expression" priority="10" dxfId="0">
      <formula>AA3="due"</formula>
    </cfRule>
    <cfRule type="expression" priority="11" dxfId="1">
      <formula>AA3="en_cours"</formula>
    </cfRule>
  </conditionalFormatting>
  <conditionalFormatting sqref="AB3:AB24">
    <cfRule type="expression" priority="12" dxfId="1">
      <formula>LEFT(AB3,6)="tester"</formula>
    </cfRule>
  </conditionalFormatting>
  <pageMargins left="0.4" right="0.4" top="0.55" bottom="0.4" header="0.5" footer="0.5"/>
  <pageSetup orientation="landscape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6BFD"/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8" customWidth="1" min="5" max="5"/>
    <col width="14" customWidth="1" min="6" max="6"/>
    <col width="24" customWidth="1" min="7" max="7"/>
    <col width="10" customWidth="1" min="8" max="8"/>
    <col width="10" customWidth="1" min="9" max="9"/>
    <col width="12" customWidth="1" min="10" max="10"/>
    <col width="14" customWidth="1" min="11" max="11"/>
    <col width="22" customWidth="1" min="12" max="12"/>
    <col width="10" customWidth="1" min="13" max="13"/>
    <col width="22" customWidth="1" min="14" max="14"/>
    <col width="12" customWidth="1" min="15" max="15"/>
    <col width="36" customWidth="1" min="16" max="16"/>
  </cols>
  <sheetData>
    <row r="1" ht="30" customHeight="1">
      <c r="A1" s="27" t="inlineStr">
        <is>
          <t>id</t>
        </is>
      </c>
      <c r="B1" s="27" t="inlineStr">
        <is>
          <t>prenom</t>
        </is>
      </c>
      <c r="C1" s="27" t="inlineStr">
        <is>
          <t>nom</t>
        </is>
      </c>
      <c r="D1" s="27" t="inlineStr">
        <is>
          <t>annee_nais</t>
        </is>
      </c>
      <c r="E1" s="27" t="inlineStr">
        <is>
          <t>sexe</t>
        </is>
      </c>
      <c r="F1" s="27" t="inlineStr">
        <is>
          <t>tel</t>
        </is>
      </c>
      <c r="G1" s="27" t="inlineStr">
        <is>
          <t>mail</t>
        </is>
      </c>
      <c r="H1" s="27" t="inlineStr">
        <is>
          <t>cadre</t>
        </is>
      </c>
      <c r="I1" s="27" t="inlineStr">
        <is>
          <t>bassin</t>
        </is>
      </c>
      <c r="J1" s="27" t="inlineStr">
        <is>
          <t>seances_sem</t>
        </is>
      </c>
      <c r="K1" s="27" t="inlineStr">
        <is>
          <t>niveau</t>
        </is>
      </c>
      <c r="L1" s="27" t="inlineStr">
        <is>
          <t>materiel</t>
        </is>
      </c>
      <c r="M1" s="27" t="inlineStr">
        <is>
          <t>blessure</t>
        </is>
      </c>
      <c r="N1" s="27" t="inlineStr">
        <is>
          <t>note_contrainte</t>
        </is>
      </c>
      <c r="O1" s="27" t="inlineStr">
        <is>
          <t>statut</t>
        </is>
      </c>
      <c r="P1" s="27" t="inlineStr">
        <is>
          <t>notes</t>
        </is>
      </c>
    </row>
    <row r="2" ht="22" customHeight="1">
      <c r="A2" s="28" t="inlineStr">
        <is>
          <t>N001</t>
        </is>
      </c>
      <c r="B2" s="28" t="inlineStr">
        <is>
          <t>Lea</t>
        </is>
      </c>
      <c r="C2" s="28" t="inlineStr">
        <is>
          <t>Martin</t>
        </is>
      </c>
      <c r="D2" s="28" t="n">
        <v>1998</v>
      </c>
      <c r="E2" s="28" t="inlineStr">
        <is>
          <t>F</t>
        </is>
      </c>
      <c r="F2" s="28" t="inlineStr"/>
      <c r="G2" s="28" t="inlineStr"/>
      <c r="H2" s="28" t="inlineStr">
        <is>
          <t>perso</t>
        </is>
      </c>
      <c r="I2" s="28" t="n">
        <v>25</v>
      </c>
      <c r="J2" s="28" t="n">
        <v>3</v>
      </c>
      <c r="K2" s="28" t="inlineStr">
        <is>
          <t>sportif</t>
        </is>
      </c>
      <c r="L2" s="29" t="inlineStr">
        <is>
          <t>pull, palmes</t>
        </is>
      </c>
      <c r="M2" s="28" t="inlineStr">
        <is>
          <t>non</t>
        </is>
      </c>
      <c r="N2" s="29" t="inlineStr"/>
      <c r="O2" s="28" t="inlineStr">
        <is>
          <t>actif</t>
        </is>
      </c>
      <c r="P2" s="29" t="inlineStr">
        <is>
          <t>EXEMPLE — 100 NL club</t>
        </is>
      </c>
    </row>
    <row r="3" ht="22" customHeight="1">
      <c r="A3" s="28" t="inlineStr">
        <is>
          <t>N002</t>
        </is>
      </c>
      <c r="B3" s="28" t="inlineStr">
        <is>
          <t>Thomas</t>
        </is>
      </c>
      <c r="C3" s="28" t="inlineStr">
        <is>
          <t>Bernard</t>
        </is>
      </c>
      <c r="D3" s="28" t="n">
        <v>1992</v>
      </c>
      <c r="E3" s="28" t="inlineStr">
        <is>
          <t>H</t>
        </is>
      </c>
      <c r="F3" s="28" t="inlineStr"/>
      <c r="G3" s="28" t="inlineStr"/>
      <c r="H3" s="28" t="inlineStr">
        <is>
          <t>perso</t>
        </is>
      </c>
      <c r="I3" s="28" t="n">
        <v>50</v>
      </c>
      <c r="J3" s="28" t="n">
        <v>5</v>
      </c>
      <c r="K3" s="28" t="inlineStr">
        <is>
          <t>performance</t>
        </is>
      </c>
      <c r="L3" s="29" t="inlineStr">
        <is>
          <t>plaquettes, tuba</t>
        </is>
      </c>
      <c r="M3" s="28" t="inlineStr">
        <is>
          <t>non</t>
        </is>
      </c>
      <c r="N3" s="29" t="inlineStr"/>
      <c r="O3" s="28" t="inlineStr">
        <is>
          <t>actif</t>
        </is>
      </c>
      <c r="P3" s="29" t="inlineStr">
        <is>
          <t>EXEMPLE — 400 NL</t>
        </is>
      </c>
    </row>
    <row r="4" ht="22" customHeight="1">
      <c r="A4" s="28" t="inlineStr">
        <is>
          <t>N003</t>
        </is>
      </c>
      <c r="B4" s="28" t="inlineStr">
        <is>
          <t>Ines</t>
        </is>
      </c>
      <c r="C4" s="28" t="inlineStr">
        <is>
          <t>Moreau</t>
        </is>
      </c>
      <c r="D4" s="28" t="n">
        <v>2001</v>
      </c>
      <c r="E4" s="28" t="inlineStr">
        <is>
          <t>F</t>
        </is>
      </c>
      <c r="F4" s="28" t="inlineStr"/>
      <c r="G4" s="28" t="inlineStr"/>
      <c r="H4" s="28" t="inlineStr">
        <is>
          <t>perso</t>
        </is>
      </c>
      <c r="I4" s="28" t="n">
        <v>25</v>
      </c>
      <c r="J4" s="28" t="n">
        <v>3</v>
      </c>
      <c r="K4" s="28" t="inlineStr">
        <is>
          <t>regulier</t>
        </is>
      </c>
      <c r="L4" s="29" t="inlineStr">
        <is>
          <t>pull</t>
        </is>
      </c>
      <c r="M4" s="28" t="inlineStr">
        <is>
          <t>non</t>
        </is>
      </c>
      <c r="N4" s="29" t="inlineStr">
        <is>
          <t>Genou sensible</t>
        </is>
      </c>
      <c r="O4" s="28" t="inlineStr">
        <is>
          <t>actif</t>
        </is>
      </c>
      <c r="P4" s="29" t="inlineStr">
        <is>
          <t>EXEMPLE — triathlon 1900</t>
        </is>
      </c>
    </row>
    <row r="5" ht="20" customHeight="1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20" customHeight="1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</row>
    <row r="7" ht="20" customHeight="1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</row>
    <row r="8" ht="20" customHeight="1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</row>
    <row r="9" ht="20" customHeight="1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</row>
    <row r="10" ht="20" customHeight="1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</row>
    <row r="11" ht="20" customHeight="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</row>
    <row r="12" ht="20" customHeight="1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</row>
    <row r="13" ht="20" customHeight="1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</row>
    <row r="14" ht="20" customHeight="1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</row>
    <row r="15" ht="20" customHeight="1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</row>
    <row r="16" ht="20" customHeight="1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</row>
    <row r="17" ht="20" customHeight="1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</row>
    <row r="18" ht="20" customHeight="1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</row>
    <row r="19" ht="20" customHeight="1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</row>
    <row r="20" ht="20" customHeight="1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</row>
    <row r="21" ht="20" customHeight="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</row>
    <row r="22" ht="20" customHeight="1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</row>
    <row r="23" ht="20" customHeight="1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</row>
  </sheetData>
  <dataValidations count="6">
    <dataValidation sqref="E2:E200" showDropDown="0" showInputMessage="1" showErrorMessage="1" allowBlank="1" errorTitle="Valeur hors liste" error="Choisis une valeur du menu." promptTitle="Liste" prompt="Sexe" type="list">
      <formula1>=liste_sexe</formula1>
    </dataValidation>
    <dataValidation sqref="H2:H200" showDropDown="0" showInputMessage="1" showErrorMessage="1" allowBlank="1" errorTitle="Valeur hors liste" error="Choisis une valeur du menu." promptTitle="Liste" prompt="Cadre" type="list">
      <formula1>=liste_cadre</formula1>
    </dataValidation>
    <dataValidation sqref="I2:I200" showDropDown="0" showInputMessage="1" showErrorMessage="1" allowBlank="1" errorTitle="Valeur hors liste" error="Choisis une valeur du menu." promptTitle="Liste" prompt="Bassin habituel" type="list">
      <formula1>=liste_bassin</formula1>
    </dataValidation>
    <dataValidation sqref="K2:K200" showDropDown="0" showInputMessage="1" showErrorMessage="1" allowBlank="1" errorTitle="Valeur hors liste" error="Choisis une valeur du menu." promptTitle="Liste" prompt="Niveau" type="list">
      <formula1>=liste_niveau</formula1>
    </dataValidation>
    <dataValidation sqref="M2:M200" showDropDown="0" showInputMessage="1" showErrorMessage="1" allowBlank="1" errorTitle="Valeur hors liste" error="Choisis une valeur du menu." promptTitle="Liste" prompt="Blessure en cours ?" type="list">
      <formula1>=liste_oui_non</formula1>
    </dataValidation>
    <dataValidation sqref="O2:O200" showDropDown="0" showInputMessage="1" showErrorMessage="1" allowBlank="1" errorTitle="Valeur hors liste" error="Choisis une valeur du menu." promptTitle="Liste" prompt="Statut" type="list">
      <formula1>=liste_statut_nageur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D8FFF"/>
    <outlinePr summaryBelow="1" summaryRight="1"/>
    <pageSetUpPr/>
  </sheetPr>
  <dimension ref="A1:N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32" customWidth="1" min="7" max="7"/>
    <col width="12" customWidth="1" min="8" max="8"/>
    <col width="14" customWidth="1" min="9" max="9"/>
    <col width="16" customWidth="1" min="10" max="10"/>
    <col width="10" customWidth="1" min="11" max="11"/>
    <col width="12" customWidth="1" min="12" max="12"/>
    <col width="28" customWidth="1" min="13" max="13"/>
    <col width="16" customWidth="1" min="14" max="14"/>
  </cols>
  <sheetData>
    <row r="1" ht="30" customHeight="1">
      <c r="A1" s="27" t="inlineStr">
        <is>
          <t>id_objectif</t>
        </is>
      </c>
      <c r="B1" s="27" t="inlineStr">
        <is>
          <t>id_nageur</t>
        </is>
      </c>
      <c r="C1" s="27" t="inlineStr">
        <is>
          <t>discipline</t>
        </is>
      </c>
      <c r="D1" s="27" t="inlineStr">
        <is>
          <t>nage</t>
        </is>
      </c>
      <c r="E1" s="27" t="inlineStr">
        <is>
          <t>distance_m</t>
        </is>
      </c>
      <c r="F1" s="27" t="inlineStr">
        <is>
          <t>date_objectif</t>
        </is>
      </c>
      <c r="G1" s="27" t="inlineStr">
        <is>
          <t>lieu</t>
        </is>
      </c>
      <c r="H1" s="27" t="inlineStr">
        <is>
          <t>bassin_lieu</t>
        </is>
      </c>
      <c r="I1" s="27" t="inlineStr">
        <is>
          <t>temps_cible</t>
        </is>
      </c>
      <c r="J1" s="27" t="inlineStr">
        <is>
          <t>temps_cible_sec</t>
        </is>
      </c>
      <c r="K1" s="27" t="inlineStr">
        <is>
          <t>priorite</t>
        </is>
      </c>
      <c r="L1" s="27" t="inlineStr">
        <is>
          <t>statut</t>
        </is>
      </c>
      <c r="M1" s="27" t="inlineStr">
        <is>
          <t>notes</t>
        </is>
      </c>
      <c r="N1" s="27" t="inlineStr">
        <is>
          <t>cle_dashboard</t>
        </is>
      </c>
    </row>
    <row r="2" ht="22" customHeight="1">
      <c r="A2" s="28" t="inlineStr">
        <is>
          <t>O001</t>
        </is>
      </c>
      <c r="B2" s="28" t="inlineStr">
        <is>
          <t>N001</t>
        </is>
      </c>
      <c r="C2" s="28" t="inlineStr">
        <is>
          <t>course_piscine</t>
        </is>
      </c>
      <c r="D2" s="28" t="inlineStr">
        <is>
          <t>crawl</t>
        </is>
      </c>
      <c r="E2" s="28" t="n">
        <v>100</v>
      </c>
      <c r="F2" s="30" t="n">
        <v>46313</v>
      </c>
      <c r="G2" s="29" t="inlineStr">
        <is>
          <t>Meeting club — Lyon</t>
        </is>
      </c>
      <c r="H2" s="28" t="inlineStr">
        <is>
          <t>25</t>
        </is>
      </c>
      <c r="I2" s="28" t="inlineStr">
        <is>
          <t>1:12.00</t>
        </is>
      </c>
      <c r="J2" s="19">
        <f>IF(I2="","",IF(ISNUMBER(I2),IF(I2&lt;1,I2*86400,I2),IF(ISNUMBER(FIND(":",I2)),VALUE(LEFT(I2,FIND(":",I2)-1))*60+VALUE(SUBSTITUTE(MID(I2,FIND(":",I2)+1,20),",",".")),VALUE(SUBSTITUTE(I2,",",".")))))</f>
        <v/>
      </c>
      <c r="K2" s="28" t="inlineStr">
        <is>
          <t>A</t>
        </is>
      </c>
      <c r="L2" s="28" t="inlineStr">
        <is>
          <t>en_cours</t>
        </is>
      </c>
      <c r="M2" s="29" t="inlineStr">
        <is>
          <t>Premier 100 officiel</t>
        </is>
      </c>
      <c r="N2" s="13">
        <f>IF(AND(K2="A",L2="en_cours"),B2,"")</f>
        <v/>
      </c>
    </row>
    <row r="3" ht="22" customHeight="1">
      <c r="A3" s="28" t="inlineStr">
        <is>
          <t>O002</t>
        </is>
      </c>
      <c r="B3" s="28" t="inlineStr">
        <is>
          <t>N002</t>
        </is>
      </c>
      <c r="C3" s="28" t="inlineStr">
        <is>
          <t>course_piscine</t>
        </is>
      </c>
      <c r="D3" s="28" t="inlineStr">
        <is>
          <t>crawl</t>
        </is>
      </c>
      <c r="E3" s="28" t="n">
        <v>400</v>
      </c>
      <c r="F3" s="30" t="n">
        <v>46362</v>
      </c>
      <c r="G3" s="29" t="inlineStr">
        <is>
          <t>Championnats maitres — Paris</t>
        </is>
      </c>
      <c r="H3" s="28" t="inlineStr">
        <is>
          <t>50</t>
        </is>
      </c>
      <c r="I3" s="28" t="inlineStr">
        <is>
          <t>5:05.00</t>
        </is>
      </c>
      <c r="J3" s="19">
        <f>IF(I3="","",IF(ISNUMBER(I3),IF(I3&lt;1,I3*86400,I3),IF(ISNUMBER(FIND(":",I3)),VALUE(LEFT(I3,FIND(":",I3)-1))*60+VALUE(SUBSTITUTE(MID(I3,FIND(":",I3)+1,20),",",".")),VALUE(SUBSTITUTE(I3,",",".")))))</f>
        <v/>
      </c>
      <c r="K3" s="28" t="inlineStr">
        <is>
          <t>A</t>
        </is>
      </c>
      <c r="L3" s="28" t="inlineStr">
        <is>
          <t>en_cours</t>
        </is>
      </c>
      <c r="M3" s="29" t="inlineStr"/>
      <c r="N3" s="13">
        <f>IF(AND(K3="A",L3="en_cours"),B3,"")</f>
        <v/>
      </c>
    </row>
    <row r="4" ht="22" customHeight="1">
      <c r="A4" s="28" t="inlineStr">
        <is>
          <t>O003</t>
        </is>
      </c>
      <c r="B4" s="28" t="inlineStr">
        <is>
          <t>N003</t>
        </is>
      </c>
      <c r="C4" s="28" t="inlineStr">
        <is>
          <t>triathlon</t>
        </is>
      </c>
      <c r="D4" s="28" t="inlineStr">
        <is>
          <t>crawl</t>
        </is>
      </c>
      <c r="E4" s="28" t="n">
        <v>1900</v>
      </c>
      <c r="F4" s="30" t="n">
        <v>46278</v>
      </c>
      <c r="G4" s="29" t="inlineStr">
        <is>
          <t>Triathlon M — Annecy</t>
        </is>
      </c>
      <c r="H4" s="28" t="inlineStr">
        <is>
          <t>OW</t>
        </is>
      </c>
      <c r="I4" s="28" t="inlineStr">
        <is>
          <t>32:00</t>
        </is>
      </c>
      <c r="J4" s="19">
        <f>IF(I4="","",IF(ISNUMBER(I4),IF(I4&lt;1,I4*86400,I4),IF(ISNUMBER(FIND(":",I4)),VALUE(LEFT(I4,FIND(":",I4)-1))*60+VALUE(SUBSTITUTE(MID(I4,FIND(":",I4)+1,20),",",".")),VALUE(SUBSTITUTE(I4,",",".")))))</f>
        <v/>
      </c>
      <c r="K4" s="28" t="inlineStr">
        <is>
          <t>A</t>
        </is>
      </c>
      <c r="L4" s="28" t="inlineStr">
        <is>
          <t>en_cours</t>
        </is>
      </c>
      <c r="M4" s="29" t="inlineStr">
        <is>
          <t>Eau libre, pas de mur</t>
        </is>
      </c>
      <c r="N4" s="13">
        <f>IF(AND(K4="A",L4="en_cours"),B4,"")</f>
        <v/>
      </c>
    </row>
    <row r="5">
      <c r="A5" s="28" t="n"/>
      <c r="B5" s="28" t="n"/>
      <c r="C5" s="28" t="n"/>
      <c r="D5" s="28" t="n"/>
      <c r="E5" s="28" t="n"/>
      <c r="F5" s="30" t="n"/>
      <c r="G5" s="28" t="n"/>
      <c r="H5" s="28" t="n"/>
      <c r="I5" s="28" t="n"/>
      <c r="J5" s="19">
        <f>IF(I5="","",IF(ISNUMBER(I5),IF(I5&lt;1,I5*86400,I5),IF(ISNUMBER(FIND(":",I5)),VALUE(LEFT(I5,FIND(":",I5)-1))*60+VALUE(SUBSTITUTE(MID(I5,FIND(":",I5)+1,20),",",".")),VALUE(SUBSTITUTE(I5,",",".")))))</f>
        <v/>
      </c>
      <c r="K5" s="28" t="n"/>
      <c r="L5" s="28" t="n"/>
      <c r="M5" s="28" t="n"/>
      <c r="N5" s="13">
        <f>IF(AND(K5="A",L5="en_cours"),B5,"")</f>
        <v/>
      </c>
    </row>
    <row r="6">
      <c r="A6" s="28" t="n"/>
      <c r="B6" s="28" t="n"/>
      <c r="C6" s="28" t="n"/>
      <c r="D6" s="28" t="n"/>
      <c r="E6" s="28" t="n"/>
      <c r="F6" s="30" t="n"/>
      <c r="G6" s="28" t="n"/>
      <c r="H6" s="28" t="n"/>
      <c r="I6" s="28" t="n"/>
      <c r="J6" s="19">
        <f>IF(I6="","",IF(ISNUMBER(I6),IF(I6&lt;1,I6*86400,I6),IF(ISNUMBER(FIND(":",I6)),VALUE(LEFT(I6,FIND(":",I6)-1))*60+VALUE(SUBSTITUTE(MID(I6,FIND(":",I6)+1,20),",",".")),VALUE(SUBSTITUTE(I6,",",".")))))</f>
        <v/>
      </c>
      <c r="K6" s="28" t="n"/>
      <c r="L6" s="28" t="n"/>
      <c r="M6" s="28" t="n"/>
      <c r="N6" s="13">
        <f>IF(AND(K6="A",L6="en_cours"),B6,"")</f>
        <v/>
      </c>
    </row>
    <row r="7">
      <c r="A7" s="28" t="n"/>
      <c r="B7" s="28" t="n"/>
      <c r="C7" s="28" t="n"/>
      <c r="D7" s="28" t="n"/>
      <c r="E7" s="28" t="n"/>
      <c r="F7" s="30" t="n"/>
      <c r="G7" s="28" t="n"/>
      <c r="H7" s="28" t="n"/>
      <c r="I7" s="28" t="n"/>
      <c r="J7" s="19">
        <f>IF(I7="","",IF(ISNUMBER(I7),IF(I7&lt;1,I7*86400,I7),IF(ISNUMBER(FIND(":",I7)),VALUE(LEFT(I7,FIND(":",I7)-1))*60+VALUE(SUBSTITUTE(MID(I7,FIND(":",I7)+1,20),",",".")),VALUE(SUBSTITUTE(I7,",",".")))))</f>
        <v/>
      </c>
      <c r="K7" s="28" t="n"/>
      <c r="L7" s="28" t="n"/>
      <c r="M7" s="28" t="n"/>
      <c r="N7" s="13">
        <f>IF(AND(K7="A",L7="en_cours"),B7,"")</f>
        <v/>
      </c>
    </row>
    <row r="8">
      <c r="A8" s="28" t="n"/>
      <c r="B8" s="28" t="n"/>
      <c r="C8" s="28" t="n"/>
      <c r="D8" s="28" t="n"/>
      <c r="E8" s="28" t="n"/>
      <c r="F8" s="30" t="n"/>
      <c r="G8" s="28" t="n"/>
      <c r="H8" s="28" t="n"/>
      <c r="I8" s="28" t="n"/>
      <c r="J8" s="19">
        <f>IF(I8="","",IF(ISNUMBER(I8),IF(I8&lt;1,I8*86400,I8),IF(ISNUMBER(FIND(":",I8)),VALUE(LEFT(I8,FIND(":",I8)-1))*60+VALUE(SUBSTITUTE(MID(I8,FIND(":",I8)+1,20),",",".")),VALUE(SUBSTITUTE(I8,",",".")))))</f>
        <v/>
      </c>
      <c r="K8" s="28" t="n"/>
      <c r="L8" s="28" t="n"/>
      <c r="M8" s="28" t="n"/>
      <c r="N8" s="13">
        <f>IF(AND(K8="A",L8="en_cours"),B8,"")</f>
        <v/>
      </c>
    </row>
    <row r="9">
      <c r="A9" s="28" t="n"/>
      <c r="B9" s="28" t="n"/>
      <c r="C9" s="28" t="n"/>
      <c r="D9" s="28" t="n"/>
      <c r="E9" s="28" t="n"/>
      <c r="F9" s="30" t="n"/>
      <c r="G9" s="28" t="n"/>
      <c r="H9" s="28" t="n"/>
      <c r="I9" s="28" t="n"/>
      <c r="J9" s="19">
        <f>IF(I9="","",IF(ISNUMBER(I9),IF(I9&lt;1,I9*86400,I9),IF(ISNUMBER(FIND(":",I9)),VALUE(LEFT(I9,FIND(":",I9)-1))*60+VALUE(SUBSTITUTE(MID(I9,FIND(":",I9)+1,20),",",".")),VALUE(SUBSTITUTE(I9,",",".")))))</f>
        <v/>
      </c>
      <c r="K9" s="28" t="n"/>
      <c r="L9" s="28" t="n"/>
      <c r="M9" s="28" t="n"/>
      <c r="N9" s="13">
        <f>IF(AND(K9="A",L9="en_cours"),B9,"")</f>
        <v/>
      </c>
    </row>
    <row r="10">
      <c r="A10" s="28" t="n"/>
      <c r="B10" s="28" t="n"/>
      <c r="C10" s="28" t="n"/>
      <c r="D10" s="28" t="n"/>
      <c r="E10" s="28" t="n"/>
      <c r="F10" s="30" t="n"/>
      <c r="G10" s="28" t="n"/>
      <c r="H10" s="28" t="n"/>
      <c r="I10" s="28" t="n"/>
      <c r="J10" s="19">
        <f>IF(I10="","",IF(ISNUMBER(I10),IF(I10&lt;1,I10*86400,I10),IF(ISNUMBER(FIND(":",I10)),VALUE(LEFT(I10,FIND(":",I10)-1))*60+VALUE(SUBSTITUTE(MID(I10,FIND(":",I10)+1,20),",",".")),VALUE(SUBSTITUTE(I10,",",".")))))</f>
        <v/>
      </c>
      <c r="K10" s="28" t="n"/>
      <c r="L10" s="28" t="n"/>
      <c r="M10" s="28" t="n"/>
      <c r="N10" s="13">
        <f>IF(AND(K10="A",L10="en_cours"),B10,"")</f>
        <v/>
      </c>
    </row>
    <row r="11">
      <c r="A11" s="28" t="n"/>
      <c r="B11" s="28" t="n"/>
      <c r="C11" s="28" t="n"/>
      <c r="D11" s="28" t="n"/>
      <c r="E11" s="28" t="n"/>
      <c r="F11" s="30" t="n"/>
      <c r="G11" s="28" t="n"/>
      <c r="H11" s="28" t="n"/>
      <c r="I11" s="28" t="n"/>
      <c r="J11" s="19">
        <f>IF(I11="","",IF(ISNUMBER(I11),IF(I11&lt;1,I11*86400,I11),IF(ISNUMBER(FIND(":",I11)),VALUE(LEFT(I11,FIND(":",I11)-1))*60+VALUE(SUBSTITUTE(MID(I11,FIND(":",I11)+1,20),",",".")),VALUE(SUBSTITUTE(I11,",",".")))))</f>
        <v/>
      </c>
      <c r="K11" s="28" t="n"/>
      <c r="L11" s="28" t="n"/>
      <c r="M11" s="28" t="n"/>
      <c r="N11" s="13">
        <f>IF(AND(K11="A",L11="en_cours"),B11,"")</f>
        <v/>
      </c>
    </row>
    <row r="12">
      <c r="A12" s="28" t="n"/>
      <c r="B12" s="28" t="n"/>
      <c r="C12" s="28" t="n"/>
      <c r="D12" s="28" t="n"/>
      <c r="E12" s="28" t="n"/>
      <c r="F12" s="30" t="n"/>
      <c r="G12" s="28" t="n"/>
      <c r="H12" s="28" t="n"/>
      <c r="I12" s="28" t="n"/>
      <c r="J12" s="19">
        <f>IF(I12="","",IF(ISNUMBER(I12),IF(I12&lt;1,I12*86400,I12),IF(ISNUMBER(FIND(":",I12)),VALUE(LEFT(I12,FIND(":",I12)-1))*60+VALUE(SUBSTITUTE(MID(I12,FIND(":",I12)+1,20),",",".")),VALUE(SUBSTITUTE(I12,",",".")))))</f>
        <v/>
      </c>
      <c r="K12" s="28" t="n"/>
      <c r="L12" s="28" t="n"/>
      <c r="M12" s="28" t="n"/>
      <c r="N12" s="13">
        <f>IF(AND(K12="A",L12="en_cours"),B12,"")</f>
        <v/>
      </c>
    </row>
    <row r="13">
      <c r="A13" s="28" t="n"/>
      <c r="B13" s="28" t="n"/>
      <c r="C13" s="28" t="n"/>
      <c r="D13" s="28" t="n"/>
      <c r="E13" s="28" t="n"/>
      <c r="F13" s="30" t="n"/>
      <c r="G13" s="28" t="n"/>
      <c r="H13" s="28" t="n"/>
      <c r="I13" s="28" t="n"/>
      <c r="J13" s="19">
        <f>IF(I13="","",IF(ISNUMBER(I13),IF(I13&lt;1,I13*86400,I13),IF(ISNUMBER(FIND(":",I13)),VALUE(LEFT(I13,FIND(":",I13)-1))*60+VALUE(SUBSTITUTE(MID(I13,FIND(":",I13)+1,20),",",".")),VALUE(SUBSTITUTE(I13,",",".")))))</f>
        <v/>
      </c>
      <c r="K13" s="28" t="n"/>
      <c r="L13" s="28" t="n"/>
      <c r="M13" s="28" t="n"/>
      <c r="N13" s="13">
        <f>IF(AND(K13="A",L13="en_cours"),B13,"")</f>
        <v/>
      </c>
    </row>
    <row r="14">
      <c r="A14" s="28" t="n"/>
      <c r="B14" s="28" t="n"/>
      <c r="C14" s="28" t="n"/>
      <c r="D14" s="28" t="n"/>
      <c r="E14" s="28" t="n"/>
      <c r="F14" s="30" t="n"/>
      <c r="G14" s="28" t="n"/>
      <c r="H14" s="28" t="n"/>
      <c r="I14" s="28" t="n"/>
      <c r="J14" s="19">
        <f>IF(I14="","",IF(ISNUMBER(I14),IF(I14&lt;1,I14*86400,I14),IF(ISNUMBER(FIND(":",I14)),VALUE(LEFT(I14,FIND(":",I14)-1))*60+VALUE(SUBSTITUTE(MID(I14,FIND(":",I14)+1,20),",",".")),VALUE(SUBSTITUTE(I14,",",".")))))</f>
        <v/>
      </c>
      <c r="K14" s="28" t="n"/>
      <c r="L14" s="28" t="n"/>
      <c r="M14" s="28" t="n"/>
      <c r="N14" s="13">
        <f>IF(AND(K14="A",L14="en_cours"),B14,"")</f>
        <v/>
      </c>
    </row>
    <row r="15">
      <c r="A15" s="28" t="n"/>
      <c r="B15" s="28" t="n"/>
      <c r="C15" s="28" t="n"/>
      <c r="D15" s="28" t="n"/>
      <c r="E15" s="28" t="n"/>
      <c r="F15" s="30" t="n"/>
      <c r="G15" s="28" t="n"/>
      <c r="H15" s="28" t="n"/>
      <c r="I15" s="28" t="n"/>
      <c r="J15" s="19">
        <f>IF(I15="","",IF(ISNUMBER(I15),IF(I15&lt;1,I15*86400,I15),IF(ISNUMBER(FIND(":",I15)),VALUE(LEFT(I15,FIND(":",I15)-1))*60+VALUE(SUBSTITUTE(MID(I15,FIND(":",I15)+1,20),",",".")),VALUE(SUBSTITUTE(I15,",",".")))))</f>
        <v/>
      </c>
      <c r="K15" s="28" t="n"/>
      <c r="L15" s="28" t="n"/>
      <c r="M15" s="28" t="n"/>
      <c r="N15" s="13">
        <f>IF(AND(K15="A",L15="en_cours"),B15,"")</f>
        <v/>
      </c>
    </row>
    <row r="16">
      <c r="A16" s="28" t="n"/>
      <c r="B16" s="28" t="n"/>
      <c r="C16" s="28" t="n"/>
      <c r="D16" s="28" t="n"/>
      <c r="E16" s="28" t="n"/>
      <c r="F16" s="30" t="n"/>
      <c r="G16" s="28" t="n"/>
      <c r="H16" s="28" t="n"/>
      <c r="I16" s="28" t="n"/>
      <c r="J16" s="19">
        <f>IF(I16="","",IF(ISNUMBER(I16),IF(I16&lt;1,I16*86400,I16),IF(ISNUMBER(FIND(":",I16)),VALUE(LEFT(I16,FIND(":",I16)-1))*60+VALUE(SUBSTITUTE(MID(I16,FIND(":",I16)+1,20),",",".")),VALUE(SUBSTITUTE(I16,",",".")))))</f>
        <v/>
      </c>
      <c r="K16" s="28" t="n"/>
      <c r="L16" s="28" t="n"/>
      <c r="M16" s="28" t="n"/>
      <c r="N16" s="13">
        <f>IF(AND(K16="A",L16="en_cours"),B16,"")</f>
        <v/>
      </c>
    </row>
    <row r="17">
      <c r="A17" s="28" t="n"/>
      <c r="B17" s="28" t="n"/>
      <c r="C17" s="28" t="n"/>
      <c r="D17" s="28" t="n"/>
      <c r="E17" s="28" t="n"/>
      <c r="F17" s="30" t="n"/>
      <c r="G17" s="28" t="n"/>
      <c r="H17" s="28" t="n"/>
      <c r="I17" s="28" t="n"/>
      <c r="J17" s="19">
        <f>IF(I17="","",IF(ISNUMBER(I17),IF(I17&lt;1,I17*86400,I17),IF(ISNUMBER(FIND(":",I17)),VALUE(LEFT(I17,FIND(":",I17)-1))*60+VALUE(SUBSTITUTE(MID(I17,FIND(":",I17)+1,20),",",".")),VALUE(SUBSTITUTE(I17,",",".")))))</f>
        <v/>
      </c>
      <c r="K17" s="28" t="n"/>
      <c r="L17" s="28" t="n"/>
      <c r="M17" s="28" t="n"/>
      <c r="N17" s="13">
        <f>IF(AND(K17="A",L17="en_cours"),B17,"")</f>
        <v/>
      </c>
    </row>
    <row r="18">
      <c r="A18" s="28" t="n"/>
      <c r="B18" s="28" t="n"/>
      <c r="C18" s="28" t="n"/>
      <c r="D18" s="28" t="n"/>
      <c r="E18" s="28" t="n"/>
      <c r="F18" s="30" t="n"/>
      <c r="G18" s="28" t="n"/>
      <c r="H18" s="28" t="n"/>
      <c r="I18" s="28" t="n"/>
      <c r="J18" s="19">
        <f>IF(I18="","",IF(ISNUMBER(I18),IF(I18&lt;1,I18*86400,I18),IF(ISNUMBER(FIND(":",I18)),VALUE(LEFT(I18,FIND(":",I18)-1))*60+VALUE(SUBSTITUTE(MID(I18,FIND(":",I18)+1,20),",",".")),VALUE(SUBSTITUTE(I18,",",".")))))</f>
        <v/>
      </c>
      <c r="K18" s="28" t="n"/>
      <c r="L18" s="28" t="n"/>
      <c r="M18" s="28" t="n"/>
      <c r="N18" s="13">
        <f>IF(AND(K18="A",L18="en_cours"),B18,"")</f>
        <v/>
      </c>
    </row>
    <row r="19">
      <c r="A19" s="28" t="n"/>
      <c r="B19" s="28" t="n"/>
      <c r="C19" s="28" t="n"/>
      <c r="D19" s="28" t="n"/>
      <c r="E19" s="28" t="n"/>
      <c r="F19" s="30" t="n"/>
      <c r="G19" s="28" t="n"/>
      <c r="H19" s="28" t="n"/>
      <c r="I19" s="28" t="n"/>
      <c r="J19" s="19">
        <f>IF(I19="","",IF(ISNUMBER(I19),IF(I19&lt;1,I19*86400,I19),IF(ISNUMBER(FIND(":",I19)),VALUE(LEFT(I19,FIND(":",I19)-1))*60+VALUE(SUBSTITUTE(MID(I19,FIND(":",I19)+1,20),",",".")),VALUE(SUBSTITUTE(I19,",",".")))))</f>
        <v/>
      </c>
      <c r="K19" s="28" t="n"/>
      <c r="L19" s="28" t="n"/>
      <c r="M19" s="28" t="n"/>
      <c r="N19" s="13">
        <f>IF(AND(K19="A",L19="en_cours"),B19,"")</f>
        <v/>
      </c>
    </row>
    <row r="20">
      <c r="A20" s="28" t="n"/>
      <c r="B20" s="28" t="n"/>
      <c r="C20" s="28" t="n"/>
      <c r="D20" s="28" t="n"/>
      <c r="E20" s="28" t="n"/>
      <c r="F20" s="30" t="n"/>
      <c r="G20" s="28" t="n"/>
      <c r="H20" s="28" t="n"/>
      <c r="I20" s="28" t="n"/>
      <c r="J20" s="19">
        <f>IF(I20="","",IF(ISNUMBER(I20),IF(I20&lt;1,I20*86400,I20),IF(ISNUMBER(FIND(":",I20)),VALUE(LEFT(I20,FIND(":",I20)-1))*60+VALUE(SUBSTITUTE(MID(I20,FIND(":",I20)+1,20),",",".")),VALUE(SUBSTITUTE(I20,",",".")))))</f>
        <v/>
      </c>
      <c r="K20" s="28" t="n"/>
      <c r="L20" s="28" t="n"/>
      <c r="M20" s="28" t="n"/>
      <c r="N20" s="13">
        <f>IF(AND(K20="A",L20="en_cours"),B20,"")</f>
        <v/>
      </c>
    </row>
    <row r="21">
      <c r="A21" s="28" t="n"/>
      <c r="B21" s="28" t="n"/>
      <c r="C21" s="28" t="n"/>
      <c r="D21" s="28" t="n"/>
      <c r="E21" s="28" t="n"/>
      <c r="F21" s="30" t="n"/>
      <c r="G21" s="28" t="n"/>
      <c r="H21" s="28" t="n"/>
      <c r="I21" s="28" t="n"/>
      <c r="J21" s="19">
        <f>IF(I21="","",IF(ISNUMBER(I21),IF(I21&lt;1,I21*86400,I21),IF(ISNUMBER(FIND(":",I21)),VALUE(LEFT(I21,FIND(":",I21)-1))*60+VALUE(SUBSTITUTE(MID(I21,FIND(":",I21)+1,20),",",".")),VALUE(SUBSTITUTE(I21,",",".")))))</f>
        <v/>
      </c>
      <c r="K21" s="28" t="n"/>
      <c r="L21" s="28" t="n"/>
      <c r="M21" s="28" t="n"/>
      <c r="N21" s="13">
        <f>IF(AND(K21="A",L21="en_cours"),B21,"")</f>
        <v/>
      </c>
    </row>
    <row r="22">
      <c r="A22" s="28" t="n"/>
      <c r="B22" s="28" t="n"/>
      <c r="C22" s="28" t="n"/>
      <c r="D22" s="28" t="n"/>
      <c r="E22" s="28" t="n"/>
      <c r="F22" s="30" t="n"/>
      <c r="G22" s="28" t="n"/>
      <c r="H22" s="28" t="n"/>
      <c r="I22" s="28" t="n"/>
      <c r="J22" s="19">
        <f>IF(I22="","",IF(ISNUMBER(I22),IF(I22&lt;1,I22*86400,I22),IF(ISNUMBER(FIND(":",I22)),VALUE(LEFT(I22,FIND(":",I22)-1))*60+VALUE(SUBSTITUTE(MID(I22,FIND(":",I22)+1,20),",",".")),VALUE(SUBSTITUTE(I22,",",".")))))</f>
        <v/>
      </c>
      <c r="K22" s="28" t="n"/>
      <c r="L22" s="28" t="n"/>
      <c r="M22" s="28" t="n"/>
      <c r="N22" s="13">
        <f>IF(AND(K22="A",L22="en_cours"),B22,"")</f>
        <v/>
      </c>
    </row>
    <row r="23">
      <c r="A23" s="28" t="n"/>
      <c r="B23" s="28" t="n"/>
      <c r="C23" s="28" t="n"/>
      <c r="D23" s="28" t="n"/>
      <c r="E23" s="28" t="n"/>
      <c r="F23" s="30" t="n"/>
      <c r="G23" s="28" t="n"/>
      <c r="H23" s="28" t="n"/>
      <c r="I23" s="28" t="n"/>
      <c r="J23" s="19">
        <f>IF(I23="","",IF(ISNUMBER(I23),IF(I23&lt;1,I23*86400,I23),IF(ISNUMBER(FIND(":",I23)),VALUE(LEFT(I23,FIND(":",I23)-1))*60+VALUE(SUBSTITUTE(MID(I23,FIND(":",I23)+1,20),",",".")),VALUE(SUBSTITUTE(I23,",",".")))))</f>
        <v/>
      </c>
      <c r="K23" s="28" t="n"/>
      <c r="L23" s="28" t="n"/>
      <c r="M23" s="28" t="n"/>
      <c r="N23" s="13">
        <f>IF(AND(K23="A",L23="en_cours"),B23,"")</f>
        <v/>
      </c>
    </row>
  </sheetData>
  <dataValidations count="5">
    <dataValidation sqref="C2:C200" showDropDown="0" showInputMessage="1" showErrorMessage="1" allowBlank="1" errorTitle="Valeur hors liste" error="Choisis une valeur du menu." promptTitle="Liste" prompt="Discipline" type="list">
      <formula1>=liste_discipline</formula1>
    </dataValidation>
    <dataValidation sqref="D2:D200" showDropDown="0" showInputMessage="1" showErrorMessage="1" allowBlank="1" errorTitle="Valeur hors liste" error="Choisis une valeur du menu." promptTitle="Liste" prompt="Nage" type="list">
      <formula1>=liste_nage</formula1>
    </dataValidation>
    <dataValidation sqref="H2:H200" showDropDown="0" showInputMessage="1" showErrorMessage="1" allowBlank="1" errorTitle="Valeur hors liste" error="Choisis une valeur du menu." promptTitle="Liste" prompt="Bassin du lieu" type="list">
      <formula1>=liste_bassin_lieu</formula1>
    </dataValidation>
    <dataValidation sqref="K2:K200" showDropDown="0" showInputMessage="1" showErrorMessage="1" allowBlank="1" errorTitle="Valeur hors liste" error="Choisis une valeur du menu." promptTitle="Liste" prompt="Priorité" type="list">
      <formula1>=liste_priorite</formula1>
    </dataValidation>
    <dataValidation sqref="L2:L200" showDropDown="0" showInputMessage="1" showErrorMessage="1" allowBlank="1" errorTitle="Valeur hors liste" error="Choisis une valeur du menu." promptTitle="Liste" prompt="Statut" type="list">
      <formula1>=liste_statut_objectif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6BFD"/>
    <outlinePr summaryBelow="1" summaryRight="1"/>
    <pageSetUpPr/>
  </sheetPr>
  <dimension ref="A1:S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8" customWidth="1" min="16" max="16"/>
    <col width="12" customWidth="1" min="17" max="17"/>
    <col width="10" customWidth="1" min="18" max="18"/>
    <col width="36" customWidth="1" min="19" max="19"/>
  </cols>
  <sheetData>
    <row r="1" ht="30" customHeight="1">
      <c r="A1" s="27" t="inlineStr">
        <is>
          <t>id_test</t>
        </is>
      </c>
      <c r="B1" s="27" t="inlineStr">
        <is>
          <t>id_nageur</t>
        </is>
      </c>
      <c r="C1" s="27" t="inlineStr">
        <is>
          <t>date</t>
        </is>
      </c>
      <c r="D1" s="27" t="inlineStr">
        <is>
          <t>protocole</t>
        </is>
      </c>
      <c r="E1" s="27" t="inlineStr">
        <is>
          <t>nage</t>
        </is>
      </c>
      <c r="F1" s="27" t="inlineStr">
        <is>
          <t>bassin</t>
        </is>
      </c>
      <c r="G1" s="27" t="inlineStr">
        <is>
          <t>depart</t>
        </is>
      </c>
      <c r="H1" s="27" t="inlineStr">
        <is>
          <t>contexte</t>
        </is>
      </c>
      <c r="I1" s="27" t="inlineStr">
        <is>
          <t>distance_saisie</t>
        </is>
      </c>
      <c r="J1" s="27" t="inlineStr">
        <is>
          <t>temps</t>
        </is>
      </c>
      <c r="K1" s="27" t="inlineStr">
        <is>
          <t>temps_sec</t>
        </is>
      </c>
      <c r="L1" s="27" t="inlineStr">
        <is>
          <t>distance_m</t>
        </is>
      </c>
      <c r="M1" s="27" t="inlineStr">
        <is>
          <t>allure_100_sec</t>
        </is>
      </c>
      <c r="N1" s="27" t="inlineStr">
        <is>
          <t>split_50</t>
        </is>
      </c>
      <c r="O1" s="27" t="inlineStr">
        <is>
          <t>split_100</t>
        </is>
      </c>
      <c r="P1" s="27" t="inlineStr">
        <is>
          <t>rpe</t>
        </is>
      </c>
      <c r="Q1" s="27" t="inlineStr">
        <is>
          <t>forme</t>
        </is>
      </c>
      <c r="R1" s="27" t="inlineStr">
        <is>
          <t>valide</t>
        </is>
      </c>
      <c r="S1" s="27" t="inlineStr">
        <is>
          <t>notes</t>
        </is>
      </c>
    </row>
    <row r="2" ht="20" customHeight="1">
      <c r="A2" s="28" t="inlineStr">
        <is>
          <t>T001</t>
        </is>
      </c>
      <c r="B2" s="28" t="inlineStr">
        <is>
          <t>N001</t>
        </is>
      </c>
      <c r="C2" s="30" t="n">
        <v>46096</v>
      </c>
      <c r="D2" s="28" t="inlineStr">
        <is>
          <t>T50</t>
        </is>
      </c>
      <c r="E2" s="28" t="inlineStr">
        <is>
          <t>crawl</t>
        </is>
      </c>
      <c r="F2" s="28" t="n">
        <v>25</v>
      </c>
      <c r="G2" s="28" t="inlineStr">
        <is>
          <t>plonge</t>
        </is>
      </c>
      <c r="H2" s="28" t="inlineStr">
        <is>
          <t>test_dedie</t>
        </is>
      </c>
      <c r="I2" s="28" t="n"/>
      <c r="J2" s="28" t="inlineStr">
        <is>
          <t>0:34.80</t>
        </is>
      </c>
      <c r="K2" s="19">
        <f>IF(J2="","",IF(ISNUMBER(J2),IF(J2&lt;1,J2*86400,J2),IF(ISNUMBER(FIND(":",J2)),VALUE(LEFT(J2,FIND(":",J2)-1))*60+VALUE(SUBSTITUTE(MID(J2,FIND(":",J2)+1,20),",",".")),VALUE(SUBSTITUTE(J2,",",".")))))</f>
        <v/>
      </c>
      <c r="L2" s="13">
        <f>IF(I2&lt;&gt;"",I2,SWITCH(D2,"T50",50,"T100",100,"T200",200,"T400",400,"CSS",400,""))</f>
        <v/>
      </c>
      <c r="M2" s="19">
        <f>IF(OR(K2="",L2=""),"",K2*100/L2)</f>
        <v/>
      </c>
      <c r="N2" s="28" t="n"/>
      <c r="O2" s="28" t="n"/>
      <c r="P2" s="28" t="n">
        <v>8</v>
      </c>
      <c r="Q2" s="28" t="inlineStr">
        <is>
          <t>bonne</t>
        </is>
      </c>
      <c r="R2" s="28" t="inlineStr">
        <is>
          <t>oui</t>
        </is>
      </c>
      <c r="S2" s="29" t="inlineStr">
        <is>
          <t>Premier test saison</t>
        </is>
      </c>
    </row>
    <row r="3" ht="20" customHeight="1">
      <c r="A3" s="28" t="inlineStr">
        <is>
          <t>T002</t>
        </is>
      </c>
      <c r="B3" s="28" t="inlineStr">
        <is>
          <t>N001</t>
        </is>
      </c>
      <c r="C3" s="30" t="n">
        <v>46096</v>
      </c>
      <c r="D3" s="28" t="inlineStr">
        <is>
          <t>T100</t>
        </is>
      </c>
      <c r="E3" s="28" t="inlineStr">
        <is>
          <t>crawl</t>
        </is>
      </c>
      <c r="F3" s="28" t="n">
        <v>25</v>
      </c>
      <c r="G3" s="28" t="inlineStr">
        <is>
          <t>plonge</t>
        </is>
      </c>
      <c r="H3" s="28" t="inlineStr">
        <is>
          <t>test_dedie</t>
        </is>
      </c>
      <c r="I3" s="28" t="n"/>
      <c r="J3" s="28" t="inlineStr">
        <is>
          <t>1:16.20</t>
        </is>
      </c>
      <c r="K3" s="19">
        <f>IF(J3="","",IF(ISNUMBER(J3),IF(J3&lt;1,J3*86400,J3),IF(ISNUMBER(FIND(":",J3)),VALUE(LEFT(J3,FIND(":",J3)-1))*60+VALUE(SUBSTITUTE(MID(J3,FIND(":",J3)+1,20),",",".")),VALUE(SUBSTITUTE(J3,",",".")))))</f>
        <v/>
      </c>
      <c r="L3" s="13">
        <f>IF(I3&lt;&gt;"",I3,SWITCH(D3,"T50",50,"T100",100,"T200",200,"T400",400,"CSS",400,""))</f>
        <v/>
      </c>
      <c r="M3" s="19">
        <f>IF(OR(K3="",L3=""),"",K3*100/L3)</f>
        <v/>
      </c>
      <c r="N3" s="28" t="n"/>
      <c r="O3" s="28" t="n"/>
      <c r="P3" s="28" t="n">
        <v>9</v>
      </c>
      <c r="Q3" s="28" t="inlineStr">
        <is>
          <t>bonne</t>
        </is>
      </c>
      <c r="R3" s="28" t="inlineStr">
        <is>
          <t>oui</t>
        </is>
      </c>
      <c r="S3" s="29" t="inlineStr"/>
    </row>
    <row r="4" ht="20" customHeight="1">
      <c r="A4" s="28" t="inlineStr">
        <is>
          <t>T003</t>
        </is>
      </c>
      <c r="B4" s="28" t="inlineStr">
        <is>
          <t>N001</t>
        </is>
      </c>
      <c r="C4" s="30" t="n">
        <v>46124</v>
      </c>
      <c r="D4" s="28" t="inlineStr">
        <is>
          <t>T400</t>
        </is>
      </c>
      <c r="E4" s="28" t="inlineStr">
        <is>
          <t>crawl</t>
        </is>
      </c>
      <c r="F4" s="28" t="n">
        <v>25</v>
      </c>
      <c r="G4" s="28" t="inlineStr">
        <is>
          <t>poussee</t>
        </is>
      </c>
      <c r="H4" s="28" t="inlineStr">
        <is>
          <t>test_dedie</t>
        </is>
      </c>
      <c r="I4" s="28" t="n"/>
      <c r="J4" s="28" t="inlineStr">
        <is>
          <t>5:42.00</t>
        </is>
      </c>
      <c r="K4" s="19">
        <f>IF(J4="","",IF(ISNUMBER(J4),IF(J4&lt;1,J4*86400,J4),IF(ISNUMBER(FIND(":",J4)),VALUE(LEFT(J4,FIND(":",J4)-1))*60+VALUE(SUBSTITUTE(MID(J4,FIND(":",J4)+1,20),",",".")),VALUE(SUBSTITUTE(J4,",",".")))))</f>
        <v/>
      </c>
      <c r="L4" s="13">
        <f>IF(I4&lt;&gt;"",I4,SWITCH(D4,"T50",50,"T100",100,"T200",200,"T400",400,"CSS",400,""))</f>
        <v/>
      </c>
      <c r="M4" s="19">
        <f>IF(OR(K4="",L4=""),"",K4*100/L4)</f>
        <v/>
      </c>
      <c r="N4" s="28" t="n"/>
      <c r="O4" s="28" t="n"/>
      <c r="P4" s="28" t="n">
        <v>8</v>
      </c>
      <c r="Q4" s="28" t="inlineStr">
        <is>
          <t>moyenne</t>
        </is>
      </c>
      <c r="R4" s="28" t="inlineStr">
        <is>
          <t>oui</t>
        </is>
      </c>
      <c r="S4" s="29" t="inlineStr">
        <is>
          <t>Batterie B</t>
        </is>
      </c>
    </row>
    <row r="5" ht="20" customHeight="1">
      <c r="A5" s="28" t="inlineStr">
        <is>
          <t>T004</t>
        </is>
      </c>
      <c r="B5" s="28" t="inlineStr">
        <is>
          <t>N001</t>
        </is>
      </c>
      <c r="C5" s="30" t="n">
        <v>46124</v>
      </c>
      <c r="D5" s="28" t="inlineStr">
        <is>
          <t>T200</t>
        </is>
      </c>
      <c r="E5" s="28" t="inlineStr">
        <is>
          <t>crawl</t>
        </is>
      </c>
      <c r="F5" s="28" t="n">
        <v>25</v>
      </c>
      <c r="G5" s="28" t="inlineStr">
        <is>
          <t>poussee</t>
        </is>
      </c>
      <c r="H5" s="28" t="inlineStr">
        <is>
          <t>test_dedie</t>
        </is>
      </c>
      <c r="I5" s="28" t="n"/>
      <c r="J5" s="28" t="inlineStr">
        <is>
          <t>2:44.00</t>
        </is>
      </c>
      <c r="K5" s="19">
        <f>IF(J5="","",IF(ISNUMBER(J5),IF(J5&lt;1,J5*86400,J5),IF(ISNUMBER(FIND(":",J5)),VALUE(LEFT(J5,FIND(":",J5)-1))*60+VALUE(SUBSTITUTE(MID(J5,FIND(":",J5)+1,20),",",".")),VALUE(SUBSTITUTE(J5,",",".")))))</f>
        <v/>
      </c>
      <c r="L5" s="13">
        <f>IF(I5&lt;&gt;"",I5,SWITCH(D5,"T50",50,"T100",100,"T200",200,"T400",400,"CSS",400,""))</f>
        <v/>
      </c>
      <c r="M5" s="19">
        <f>IF(OR(K5="",L5=""),"",K5*100/L5)</f>
        <v/>
      </c>
      <c r="N5" s="28" t="n"/>
      <c r="O5" s="28" t="n"/>
      <c r="P5" s="28" t="n">
        <v>8</v>
      </c>
      <c r="Q5" s="28" t="inlineStr">
        <is>
          <t>moyenne</t>
        </is>
      </c>
      <c r="R5" s="28" t="inlineStr">
        <is>
          <t>oui</t>
        </is>
      </c>
      <c r="S5" s="29" t="inlineStr"/>
    </row>
    <row r="6" ht="20" customHeight="1">
      <c r="A6" s="28" t="inlineStr">
        <is>
          <t>T005</t>
        </is>
      </c>
      <c r="B6" s="28" t="inlineStr">
        <is>
          <t>N001</t>
        </is>
      </c>
      <c r="C6" s="30" t="n">
        <v>46152</v>
      </c>
      <c r="D6" s="28" t="inlineStr">
        <is>
          <t>T50</t>
        </is>
      </c>
      <c r="E6" s="28" t="inlineStr">
        <is>
          <t>crawl</t>
        </is>
      </c>
      <c r="F6" s="28" t="n">
        <v>25</v>
      </c>
      <c r="G6" s="28" t="inlineStr">
        <is>
          <t>plonge</t>
        </is>
      </c>
      <c r="H6" s="28" t="inlineStr">
        <is>
          <t>test_dedie</t>
        </is>
      </c>
      <c r="I6" s="28" t="n"/>
      <c r="J6" s="28" t="inlineStr">
        <is>
          <t>0:34.10</t>
        </is>
      </c>
      <c r="K6" s="19">
        <f>IF(J6="","",IF(ISNUMBER(J6),IF(J6&lt;1,J6*86400,J6),IF(ISNUMBER(FIND(":",J6)),VALUE(LEFT(J6,FIND(":",J6)-1))*60+VALUE(SUBSTITUTE(MID(J6,FIND(":",J6)+1,20),",",".")),VALUE(SUBSTITUTE(J6,",",".")))))</f>
        <v/>
      </c>
      <c r="L6" s="13">
        <f>IF(I6&lt;&gt;"",I6,SWITCH(D6,"T50",50,"T100",100,"T200",200,"T400",400,"CSS",400,""))</f>
        <v/>
      </c>
      <c r="M6" s="19">
        <f>IF(OR(K6="",L6=""),"",K6*100/L6)</f>
        <v/>
      </c>
      <c r="N6" s="28" t="n"/>
      <c r="O6" s="28" t="n"/>
      <c r="P6" s="28" t="n">
        <v>8</v>
      </c>
      <c r="Q6" s="28" t="inlineStr">
        <is>
          <t>bonne</t>
        </is>
      </c>
      <c r="R6" s="28" t="inlineStr">
        <is>
          <t>oui</t>
        </is>
      </c>
      <c r="S6" s="29" t="inlineStr"/>
    </row>
    <row r="7" ht="20" customHeight="1">
      <c r="A7" s="28" t="inlineStr">
        <is>
          <t>T006</t>
        </is>
      </c>
      <c r="B7" s="28" t="inlineStr">
        <is>
          <t>N001</t>
        </is>
      </c>
      <c r="C7" s="30" t="n">
        <v>46152</v>
      </c>
      <c r="D7" s="28" t="inlineStr">
        <is>
          <t>T100</t>
        </is>
      </c>
      <c r="E7" s="28" t="inlineStr">
        <is>
          <t>crawl</t>
        </is>
      </c>
      <c r="F7" s="28" t="n">
        <v>25</v>
      </c>
      <c r="G7" s="28" t="inlineStr">
        <is>
          <t>plonge</t>
        </is>
      </c>
      <c r="H7" s="28" t="inlineStr">
        <is>
          <t>test_dedie</t>
        </is>
      </c>
      <c r="I7" s="28" t="n"/>
      <c r="J7" s="28" t="inlineStr">
        <is>
          <t>1:14.80</t>
        </is>
      </c>
      <c r="K7" s="19">
        <f>IF(J7="","",IF(ISNUMBER(J7),IF(J7&lt;1,J7*86400,J7),IF(ISNUMBER(FIND(":",J7)),VALUE(LEFT(J7,FIND(":",J7)-1))*60+VALUE(SUBSTITUTE(MID(J7,FIND(":",J7)+1,20),",",".")),VALUE(SUBSTITUTE(J7,",",".")))))</f>
        <v/>
      </c>
      <c r="L7" s="13">
        <f>IF(I7&lt;&gt;"",I7,SWITCH(D7,"T50",50,"T100",100,"T200",200,"T400",400,"CSS",400,""))</f>
        <v/>
      </c>
      <c r="M7" s="19">
        <f>IF(OR(K7="",L7=""),"",K7*100/L7)</f>
        <v/>
      </c>
      <c r="N7" s="28" t="n"/>
      <c r="O7" s="28" t="n"/>
      <c r="P7" s="28" t="n">
        <v>9</v>
      </c>
      <c r="Q7" s="28" t="inlineStr">
        <is>
          <t>bonne</t>
        </is>
      </c>
      <c r="R7" s="28" t="inlineStr">
        <is>
          <t>oui</t>
        </is>
      </c>
      <c r="S7" s="29" t="inlineStr"/>
    </row>
    <row r="8" ht="20" customHeight="1">
      <c r="A8" s="28" t="inlineStr">
        <is>
          <t>T007</t>
        </is>
      </c>
      <c r="B8" s="28" t="inlineStr">
        <is>
          <t>N001</t>
        </is>
      </c>
      <c r="C8" s="30" t="n">
        <v>46223</v>
      </c>
      <c r="D8" s="28" t="inlineStr">
        <is>
          <t>T50</t>
        </is>
      </c>
      <c r="E8" s="28" t="inlineStr">
        <is>
          <t>crawl</t>
        </is>
      </c>
      <c r="F8" s="28" t="n">
        <v>25</v>
      </c>
      <c r="G8" s="28" t="inlineStr">
        <is>
          <t>plonge</t>
        </is>
      </c>
      <c r="H8" s="28" t="inlineStr">
        <is>
          <t>test_dedie</t>
        </is>
      </c>
      <c r="I8" s="28" t="n"/>
      <c r="J8" s="28" t="inlineStr">
        <is>
          <t>0:33.60</t>
        </is>
      </c>
      <c r="K8" s="19">
        <f>IF(J8="","",IF(ISNUMBER(J8),IF(J8&lt;1,J8*86400,J8),IF(ISNUMBER(FIND(":",J8)),VALUE(LEFT(J8,FIND(":",J8)-1))*60+VALUE(SUBSTITUTE(MID(J8,FIND(":",J8)+1,20),",",".")),VALUE(SUBSTITUTE(J8,",",".")))))</f>
        <v/>
      </c>
      <c r="L8" s="13">
        <f>IF(I8&lt;&gt;"",I8,SWITCH(D8,"T50",50,"T100",100,"T200",200,"T400",400,"CSS",400,""))</f>
        <v/>
      </c>
      <c r="M8" s="19">
        <f>IF(OR(K8="",L8=""),"",K8*100/L8)</f>
        <v/>
      </c>
      <c r="N8" s="28" t="n"/>
      <c r="O8" s="28" t="n"/>
      <c r="P8" s="28" t="n">
        <v>8</v>
      </c>
      <c r="Q8" s="28" t="inlineStr">
        <is>
          <t>bonne</t>
        </is>
      </c>
      <c r="R8" s="28" t="inlineStr">
        <is>
          <t>oui</t>
        </is>
      </c>
      <c r="S8" s="29" t="inlineStr"/>
    </row>
    <row r="9" ht="20" customHeight="1">
      <c r="A9" s="28" t="inlineStr">
        <is>
          <t>T008</t>
        </is>
      </c>
      <c r="B9" s="28" t="inlineStr">
        <is>
          <t>N001</t>
        </is>
      </c>
      <c r="C9" s="30" t="n">
        <v>46223</v>
      </c>
      <c r="D9" s="28" t="inlineStr">
        <is>
          <t>T100</t>
        </is>
      </c>
      <c r="E9" s="28" t="inlineStr">
        <is>
          <t>crawl</t>
        </is>
      </c>
      <c r="F9" s="28" t="n">
        <v>25</v>
      </c>
      <c r="G9" s="28" t="inlineStr">
        <is>
          <t>plonge</t>
        </is>
      </c>
      <c r="H9" s="28" t="inlineStr">
        <is>
          <t>test_dedie</t>
        </is>
      </c>
      <c r="I9" s="28" t="n"/>
      <c r="J9" s="28" t="inlineStr">
        <is>
          <t>1:13.40</t>
        </is>
      </c>
      <c r="K9" s="19">
        <f>IF(J9="","",IF(ISNUMBER(J9),IF(J9&lt;1,J9*86400,J9),IF(ISNUMBER(FIND(":",J9)),VALUE(LEFT(J9,FIND(":",J9)-1))*60+VALUE(SUBSTITUTE(MID(J9,FIND(":",J9)+1,20),",",".")),VALUE(SUBSTITUTE(J9,",",".")))))</f>
        <v/>
      </c>
      <c r="L9" s="13">
        <f>IF(I9&lt;&gt;"",I9,SWITCH(D9,"T50",50,"T100",100,"T200",200,"T400",400,"CSS",400,""))</f>
        <v/>
      </c>
      <c r="M9" s="19">
        <f>IF(OR(K9="",L9=""),"",K9*100/L9)</f>
        <v/>
      </c>
      <c r="N9" s="28" t="n"/>
      <c r="O9" s="28" t="n"/>
      <c r="P9" s="28" t="n">
        <v>9</v>
      </c>
      <c r="Q9" s="28" t="inlineStr">
        <is>
          <t>bonne</t>
        </is>
      </c>
      <c r="R9" s="28" t="inlineStr">
        <is>
          <t>oui</t>
        </is>
      </c>
      <c r="S9" s="29" t="inlineStr">
        <is>
          <t>PB 100</t>
        </is>
      </c>
    </row>
    <row r="10" ht="20" customHeight="1">
      <c r="A10" s="28" t="inlineStr">
        <is>
          <t>T009</t>
        </is>
      </c>
      <c r="B10" s="28" t="inlineStr">
        <is>
          <t>N001</t>
        </is>
      </c>
      <c r="C10" s="30" t="n">
        <v>46223</v>
      </c>
      <c r="D10" s="28" t="inlineStr">
        <is>
          <t>T200</t>
        </is>
      </c>
      <c r="E10" s="28" t="inlineStr">
        <is>
          <t>crawl</t>
        </is>
      </c>
      <c r="F10" s="28" t="n">
        <v>25</v>
      </c>
      <c r="G10" s="28" t="inlineStr">
        <is>
          <t>poussee</t>
        </is>
      </c>
      <c r="H10" s="28" t="inlineStr">
        <is>
          <t>test_dedie</t>
        </is>
      </c>
      <c r="I10" s="28" t="n"/>
      <c r="J10" s="28" t="inlineStr">
        <is>
          <t>2:42.00</t>
        </is>
      </c>
      <c r="K10" s="19">
        <f>IF(J10="","",IF(ISNUMBER(J10),IF(J10&lt;1,J10*86400,J10),IF(ISNUMBER(FIND(":",J10)),VALUE(LEFT(J10,FIND(":",J10)-1))*60+VALUE(SUBSTITUTE(MID(J10,FIND(":",J10)+1,20),",",".")),VALUE(SUBSTITUTE(J10,",",".")))))</f>
        <v/>
      </c>
      <c r="L10" s="13">
        <f>IF(I10&lt;&gt;"",I10,SWITCH(D10,"T50",50,"T100",100,"T200",200,"T400",400,"CSS",400,""))</f>
        <v/>
      </c>
      <c r="M10" s="19">
        <f>IF(OR(K10="",L10=""),"",K10*100/L10)</f>
        <v/>
      </c>
      <c r="N10" s="28" t="n"/>
      <c r="O10" s="28" t="n"/>
      <c r="P10" s="28" t="n">
        <v>8</v>
      </c>
      <c r="Q10" s="28" t="inlineStr">
        <is>
          <t>bonne</t>
        </is>
      </c>
      <c r="R10" s="28" t="inlineStr">
        <is>
          <t>oui</t>
        </is>
      </c>
      <c r="S10" s="29" t="inlineStr">
        <is>
          <t>T200 après récup</t>
        </is>
      </c>
    </row>
    <row r="11" ht="20" customHeight="1">
      <c r="A11" s="28" t="inlineStr">
        <is>
          <t>T010</t>
        </is>
      </c>
      <c r="B11" s="28" t="inlineStr">
        <is>
          <t>N002</t>
        </is>
      </c>
      <c r="C11" s="30" t="n">
        <v>46061</v>
      </c>
      <c r="D11" s="28" t="inlineStr">
        <is>
          <t>T50</t>
        </is>
      </c>
      <c r="E11" s="28" t="inlineStr">
        <is>
          <t>crawl</t>
        </is>
      </c>
      <c r="F11" s="28" t="n">
        <v>50</v>
      </c>
      <c r="G11" s="28" t="inlineStr">
        <is>
          <t>plonge</t>
        </is>
      </c>
      <c r="H11" s="28" t="inlineStr">
        <is>
          <t>test_dedie</t>
        </is>
      </c>
      <c r="I11" s="28" t="n"/>
      <c r="J11" s="28" t="inlineStr">
        <is>
          <t>0:28.80</t>
        </is>
      </c>
      <c r="K11" s="19">
        <f>IF(J11="","",IF(ISNUMBER(J11),IF(J11&lt;1,J11*86400,J11),IF(ISNUMBER(FIND(":",J11)),VALUE(LEFT(J11,FIND(":",J11)-1))*60+VALUE(SUBSTITUTE(MID(J11,FIND(":",J11)+1,20),",",".")),VALUE(SUBSTITUTE(J11,",",".")))))</f>
        <v/>
      </c>
      <c r="L11" s="13">
        <f>IF(I11&lt;&gt;"",I11,SWITCH(D11,"T50",50,"T100",100,"T200",200,"T400",400,"CSS",400,""))</f>
        <v/>
      </c>
      <c r="M11" s="19">
        <f>IF(OR(K11="",L11=""),"",K11*100/L11)</f>
        <v/>
      </c>
      <c r="N11" s="28" t="n"/>
      <c r="O11" s="28" t="n"/>
      <c r="P11" s="28" t="n">
        <v>8</v>
      </c>
      <c r="Q11" s="28" t="inlineStr">
        <is>
          <t>bonne</t>
        </is>
      </c>
      <c r="R11" s="28" t="inlineStr">
        <is>
          <t>oui</t>
        </is>
      </c>
      <c r="S11" s="29" t="inlineStr"/>
    </row>
    <row r="12" ht="20" customHeight="1">
      <c r="A12" s="28" t="inlineStr">
        <is>
          <t>T011</t>
        </is>
      </c>
      <c r="B12" s="28" t="inlineStr">
        <is>
          <t>N002</t>
        </is>
      </c>
      <c r="C12" s="30" t="n">
        <v>46061</v>
      </c>
      <c r="D12" s="28" t="inlineStr">
        <is>
          <t>T100</t>
        </is>
      </c>
      <c r="E12" s="28" t="inlineStr">
        <is>
          <t>crawl</t>
        </is>
      </c>
      <c r="F12" s="28" t="n">
        <v>50</v>
      </c>
      <c r="G12" s="28" t="inlineStr">
        <is>
          <t>plonge</t>
        </is>
      </c>
      <c r="H12" s="28" t="inlineStr">
        <is>
          <t>test_dedie</t>
        </is>
      </c>
      <c r="I12" s="28" t="n"/>
      <c r="J12" s="28" t="inlineStr">
        <is>
          <t>1:04.20</t>
        </is>
      </c>
      <c r="K12" s="19">
        <f>IF(J12="","",IF(ISNUMBER(J12),IF(J12&lt;1,J12*86400,J12),IF(ISNUMBER(FIND(":",J12)),VALUE(LEFT(J12,FIND(":",J12)-1))*60+VALUE(SUBSTITUTE(MID(J12,FIND(":",J12)+1,20),",",".")),VALUE(SUBSTITUTE(J12,",",".")))))</f>
        <v/>
      </c>
      <c r="L12" s="13">
        <f>IF(I12&lt;&gt;"",I12,SWITCH(D12,"T50",50,"T100",100,"T200",200,"T400",400,"CSS",400,""))</f>
        <v/>
      </c>
      <c r="M12" s="19">
        <f>IF(OR(K12="",L12=""),"",K12*100/L12)</f>
        <v/>
      </c>
      <c r="N12" s="28" t="n"/>
      <c r="O12" s="28" t="n"/>
      <c r="P12" s="28" t="n">
        <v>9</v>
      </c>
      <c r="Q12" s="28" t="inlineStr">
        <is>
          <t>bonne</t>
        </is>
      </c>
      <c r="R12" s="28" t="inlineStr">
        <is>
          <t>oui</t>
        </is>
      </c>
      <c r="S12" s="29" t="inlineStr"/>
    </row>
    <row r="13" ht="20" customHeight="1">
      <c r="A13" s="28" t="inlineStr">
        <is>
          <t>T012</t>
        </is>
      </c>
      <c r="B13" s="28" t="inlineStr">
        <is>
          <t>N002</t>
        </is>
      </c>
      <c r="C13" s="30" t="n">
        <v>46103</v>
      </c>
      <c r="D13" s="28" t="inlineStr">
        <is>
          <t>T200</t>
        </is>
      </c>
      <c r="E13" s="28" t="inlineStr">
        <is>
          <t>crawl</t>
        </is>
      </c>
      <c r="F13" s="28" t="n">
        <v>50</v>
      </c>
      <c r="G13" s="28" t="inlineStr">
        <is>
          <t>poussee</t>
        </is>
      </c>
      <c r="H13" s="28" t="inlineStr">
        <is>
          <t>test_dedie</t>
        </is>
      </c>
      <c r="I13" s="28" t="n"/>
      <c r="J13" s="28" t="inlineStr">
        <is>
          <t>2:20.00</t>
        </is>
      </c>
      <c r="K13" s="19">
        <f>IF(J13="","",IF(ISNUMBER(J13),IF(J13&lt;1,J13*86400,J13),IF(ISNUMBER(FIND(":",J13)),VALUE(LEFT(J13,FIND(":",J13)-1))*60+VALUE(SUBSTITUTE(MID(J13,FIND(":",J13)+1,20),",",".")),VALUE(SUBSTITUTE(J13,",",".")))))</f>
        <v/>
      </c>
      <c r="L13" s="13">
        <f>IF(I13&lt;&gt;"",I13,SWITCH(D13,"T50",50,"T100",100,"T200",200,"T400",400,"CSS",400,""))</f>
        <v/>
      </c>
      <c r="M13" s="19">
        <f>IF(OR(K13="",L13=""),"",K13*100/L13)</f>
        <v/>
      </c>
      <c r="N13" s="28" t="n"/>
      <c r="O13" s="28" t="n"/>
      <c r="P13" s="28" t="n">
        <v>8</v>
      </c>
      <c r="Q13" s="28" t="inlineStr">
        <is>
          <t>bonne</t>
        </is>
      </c>
      <c r="R13" s="28" t="inlineStr">
        <is>
          <t>oui</t>
        </is>
      </c>
      <c r="S13" s="29" t="inlineStr"/>
    </row>
    <row r="14" ht="20" customHeight="1">
      <c r="A14" s="28" t="inlineStr">
        <is>
          <t>T013</t>
        </is>
      </c>
      <c r="B14" s="28" t="inlineStr">
        <is>
          <t>N002</t>
        </is>
      </c>
      <c r="C14" s="30" t="n">
        <v>46103</v>
      </c>
      <c r="D14" s="28" t="inlineStr">
        <is>
          <t>T400</t>
        </is>
      </c>
      <c r="E14" s="28" t="inlineStr">
        <is>
          <t>crawl</t>
        </is>
      </c>
      <c r="F14" s="28" t="n">
        <v>50</v>
      </c>
      <c r="G14" s="28" t="inlineStr">
        <is>
          <t>poussee</t>
        </is>
      </c>
      <c r="H14" s="28" t="inlineStr">
        <is>
          <t>test_dedie</t>
        </is>
      </c>
      <c r="I14" s="28" t="n"/>
      <c r="J14" s="28" t="inlineStr">
        <is>
          <t>4:58.00</t>
        </is>
      </c>
      <c r="K14" s="19">
        <f>IF(J14="","",IF(ISNUMBER(J14),IF(J14&lt;1,J14*86400,J14),IF(ISNUMBER(FIND(":",J14)),VALUE(LEFT(J14,FIND(":",J14)-1))*60+VALUE(SUBSTITUTE(MID(J14,FIND(":",J14)+1,20),",",".")),VALUE(SUBSTITUTE(J14,",",".")))))</f>
        <v/>
      </c>
      <c r="L14" s="13">
        <f>IF(I14&lt;&gt;"",I14,SWITCH(D14,"T50",50,"T100",100,"T200",200,"T400",400,"CSS",400,""))</f>
        <v/>
      </c>
      <c r="M14" s="19">
        <f>IF(OR(K14="",L14=""),"",K14*100/L14)</f>
        <v/>
      </c>
      <c r="N14" s="28" t="n"/>
      <c r="O14" s="28" t="n"/>
      <c r="P14" s="28" t="n">
        <v>9</v>
      </c>
      <c r="Q14" s="28" t="inlineStr">
        <is>
          <t>bonne</t>
        </is>
      </c>
      <c r="R14" s="28" t="inlineStr">
        <is>
          <t>oui</t>
        </is>
      </c>
      <c r="S14" s="29" t="inlineStr"/>
    </row>
    <row r="15" ht="20" customHeight="1">
      <c r="A15" s="28" t="inlineStr">
        <is>
          <t>T014</t>
        </is>
      </c>
      <c r="B15" s="28" t="inlineStr">
        <is>
          <t>N002</t>
        </is>
      </c>
      <c r="C15" s="30" t="n">
        <v>46187</v>
      </c>
      <c r="D15" s="28" t="inlineStr">
        <is>
          <t>T50</t>
        </is>
      </c>
      <c r="E15" s="28" t="inlineStr">
        <is>
          <t>crawl</t>
        </is>
      </c>
      <c r="F15" s="28" t="n">
        <v>50</v>
      </c>
      <c r="G15" s="28" t="inlineStr">
        <is>
          <t>plonge</t>
        </is>
      </c>
      <c r="H15" s="28" t="inlineStr">
        <is>
          <t>test_dedie</t>
        </is>
      </c>
      <c r="I15" s="28" t="n"/>
      <c r="J15" s="28" t="inlineStr">
        <is>
          <t>0:28.10</t>
        </is>
      </c>
      <c r="K15" s="19">
        <f>IF(J15="","",IF(ISNUMBER(J15),IF(J15&lt;1,J15*86400,J15),IF(ISNUMBER(FIND(":",J15)),VALUE(LEFT(J15,FIND(":",J15)-1))*60+VALUE(SUBSTITUTE(MID(J15,FIND(":",J15)+1,20),",",".")),VALUE(SUBSTITUTE(J15,",",".")))))</f>
        <v/>
      </c>
      <c r="L15" s="13">
        <f>IF(I15&lt;&gt;"",I15,SWITCH(D15,"T50",50,"T100",100,"T200",200,"T400",400,"CSS",400,""))</f>
        <v/>
      </c>
      <c r="M15" s="19">
        <f>IF(OR(K15="",L15=""),"",K15*100/L15)</f>
        <v/>
      </c>
      <c r="N15" s="28" t="n"/>
      <c r="O15" s="28" t="n"/>
      <c r="P15" s="28" t="n">
        <v>8</v>
      </c>
      <c r="Q15" s="28" t="inlineStr">
        <is>
          <t>bonne</t>
        </is>
      </c>
      <c r="R15" s="28" t="inlineStr">
        <is>
          <t>oui</t>
        </is>
      </c>
      <c r="S15" s="29" t="inlineStr"/>
    </row>
    <row r="16" ht="20" customHeight="1">
      <c r="A16" s="28" t="inlineStr">
        <is>
          <t>T015</t>
        </is>
      </c>
      <c r="B16" s="28" t="inlineStr">
        <is>
          <t>N002</t>
        </is>
      </c>
      <c r="C16" s="30" t="n">
        <v>46187</v>
      </c>
      <c r="D16" s="28" t="inlineStr">
        <is>
          <t>T100</t>
        </is>
      </c>
      <c r="E16" s="28" t="inlineStr">
        <is>
          <t>crawl</t>
        </is>
      </c>
      <c r="F16" s="28" t="n">
        <v>50</v>
      </c>
      <c r="G16" s="28" t="inlineStr">
        <is>
          <t>plonge</t>
        </is>
      </c>
      <c r="H16" s="28" t="inlineStr">
        <is>
          <t>test_dedie</t>
        </is>
      </c>
      <c r="I16" s="28" t="n"/>
      <c r="J16" s="28" t="inlineStr">
        <is>
          <t>1:02.40</t>
        </is>
      </c>
      <c r="K16" s="19">
        <f>IF(J16="","",IF(ISNUMBER(J16),IF(J16&lt;1,J16*86400,J16),IF(ISNUMBER(FIND(":",J16)),VALUE(LEFT(J16,FIND(":",J16)-1))*60+VALUE(SUBSTITUTE(MID(J16,FIND(":",J16)+1,20),",",".")),VALUE(SUBSTITUTE(J16,",",".")))))</f>
        <v/>
      </c>
      <c r="L16" s="13">
        <f>IF(I16&lt;&gt;"",I16,SWITCH(D16,"T50",50,"T100",100,"T200",200,"T400",400,"CSS",400,""))</f>
        <v/>
      </c>
      <c r="M16" s="19">
        <f>IF(OR(K16="",L16=""),"",K16*100/L16)</f>
        <v/>
      </c>
      <c r="N16" s="28" t="n"/>
      <c r="O16" s="28" t="n"/>
      <c r="P16" s="28" t="n">
        <v>9</v>
      </c>
      <c r="Q16" s="28" t="inlineStr">
        <is>
          <t>bonne</t>
        </is>
      </c>
      <c r="R16" s="28" t="inlineStr">
        <is>
          <t>oui</t>
        </is>
      </c>
      <c r="S16" s="29" t="inlineStr"/>
    </row>
    <row r="17" ht="20" customHeight="1">
      <c r="A17" s="28" t="inlineStr">
        <is>
          <t>T016</t>
        </is>
      </c>
      <c r="B17" s="28" t="inlineStr">
        <is>
          <t>N002</t>
        </is>
      </c>
      <c r="C17" s="30" t="n">
        <v>46201</v>
      </c>
      <c r="D17" s="28" t="inlineStr">
        <is>
          <t>T200</t>
        </is>
      </c>
      <c r="E17" s="28" t="inlineStr">
        <is>
          <t>crawl</t>
        </is>
      </c>
      <c r="F17" s="28" t="n">
        <v>50</v>
      </c>
      <c r="G17" s="28" t="inlineStr">
        <is>
          <t>poussee</t>
        </is>
      </c>
      <c r="H17" s="28" t="inlineStr">
        <is>
          <t>test_dedie</t>
        </is>
      </c>
      <c r="I17" s="28" t="n"/>
      <c r="J17" s="28" t="inlineStr">
        <is>
          <t>2:16.80</t>
        </is>
      </c>
      <c r="K17" s="19">
        <f>IF(J17="","",IF(ISNUMBER(J17),IF(J17&lt;1,J17*86400,J17),IF(ISNUMBER(FIND(":",J17)),VALUE(LEFT(J17,FIND(":",J17)-1))*60+VALUE(SUBSTITUTE(MID(J17,FIND(":",J17)+1,20),",",".")),VALUE(SUBSTITUTE(J17,",",".")))))</f>
        <v/>
      </c>
      <c r="L17" s="13">
        <f>IF(I17&lt;&gt;"",I17,SWITCH(D17,"T50",50,"T100",100,"T200",200,"T400",400,"CSS",400,""))</f>
        <v/>
      </c>
      <c r="M17" s="19">
        <f>IF(OR(K17="",L17=""),"",K17*100/L17)</f>
        <v/>
      </c>
      <c r="N17" s="28" t="n"/>
      <c r="O17" s="28" t="n"/>
      <c r="P17" s="28" t="n">
        <v>8</v>
      </c>
      <c r="Q17" s="28" t="inlineStr">
        <is>
          <t>bonne</t>
        </is>
      </c>
      <c r="R17" s="28" t="inlineStr">
        <is>
          <t>oui</t>
        </is>
      </c>
      <c r="S17" s="29" t="inlineStr"/>
    </row>
    <row r="18" ht="20" customHeight="1">
      <c r="A18" s="28" t="inlineStr">
        <is>
          <t>T017</t>
        </is>
      </c>
      <c r="B18" s="28" t="inlineStr">
        <is>
          <t>N002</t>
        </is>
      </c>
      <c r="C18" s="30" t="n">
        <v>46201</v>
      </c>
      <c r="D18" s="28" t="inlineStr">
        <is>
          <t>T400</t>
        </is>
      </c>
      <c r="E18" s="28" t="inlineStr">
        <is>
          <t>crawl</t>
        </is>
      </c>
      <c r="F18" s="28" t="n">
        <v>50</v>
      </c>
      <c r="G18" s="28" t="inlineStr">
        <is>
          <t>poussee</t>
        </is>
      </c>
      <c r="H18" s="28" t="inlineStr">
        <is>
          <t>test_dedie</t>
        </is>
      </c>
      <c r="I18" s="28" t="n"/>
      <c r="J18" s="28" t="inlineStr">
        <is>
          <t>4:52.00</t>
        </is>
      </c>
      <c r="K18" s="19">
        <f>IF(J18="","",IF(ISNUMBER(J18),IF(J18&lt;1,J18*86400,J18),IF(ISNUMBER(FIND(":",J18)),VALUE(LEFT(J18,FIND(":",J18)-1))*60+VALUE(SUBSTITUTE(MID(J18,FIND(":",J18)+1,20),",",".")),VALUE(SUBSTITUTE(J18,",",".")))))</f>
        <v/>
      </c>
      <c r="L18" s="13">
        <f>IF(I18&lt;&gt;"",I18,SWITCH(D18,"T50",50,"T100",100,"T200",200,"T400",400,"CSS",400,""))</f>
        <v/>
      </c>
      <c r="M18" s="19">
        <f>IF(OR(K18="",L18=""),"",K18*100/L18)</f>
        <v/>
      </c>
      <c r="N18" s="28" t="n"/>
      <c r="O18" s="28" t="n"/>
      <c r="P18" s="28" t="n">
        <v>9</v>
      </c>
      <c r="Q18" s="28" t="inlineStr">
        <is>
          <t>bonne</t>
        </is>
      </c>
      <c r="R18" s="28" t="inlineStr">
        <is>
          <t>oui</t>
        </is>
      </c>
      <c r="S18" s="29" t="inlineStr">
        <is>
          <t>PB 400</t>
        </is>
      </c>
    </row>
    <row r="19" ht="20" customHeight="1">
      <c r="A19" s="28" t="inlineStr">
        <is>
          <t>T018</t>
        </is>
      </c>
      <c r="B19" s="28" t="inlineStr">
        <is>
          <t>N003</t>
        </is>
      </c>
      <c r="C19" s="30" t="n">
        <v>46117</v>
      </c>
      <c r="D19" s="28" t="inlineStr">
        <is>
          <t>T100</t>
        </is>
      </c>
      <c r="E19" s="28" t="inlineStr">
        <is>
          <t>crawl</t>
        </is>
      </c>
      <c r="F19" s="28" t="n">
        <v>25</v>
      </c>
      <c r="G19" s="28" t="inlineStr">
        <is>
          <t>poussee</t>
        </is>
      </c>
      <c r="H19" s="28" t="inlineStr">
        <is>
          <t>test_dedie</t>
        </is>
      </c>
      <c r="I19" s="28" t="n"/>
      <c r="J19" s="28" t="inlineStr">
        <is>
          <t>1:32.00</t>
        </is>
      </c>
      <c r="K19" s="19">
        <f>IF(J19="","",IF(ISNUMBER(J19),IF(J19&lt;1,J19*86400,J19),IF(ISNUMBER(FIND(":",J19)),VALUE(LEFT(J19,FIND(":",J19)-1))*60+VALUE(SUBSTITUTE(MID(J19,FIND(":",J19)+1,20),",",".")),VALUE(SUBSTITUTE(J19,",",".")))))</f>
        <v/>
      </c>
      <c r="L19" s="13">
        <f>IF(I19&lt;&gt;"",I19,SWITCH(D19,"T50",50,"T100",100,"T200",200,"T400",400,"CSS",400,""))</f>
        <v/>
      </c>
      <c r="M19" s="19">
        <f>IF(OR(K19="",L19=""),"",K19*100/L19)</f>
        <v/>
      </c>
      <c r="N19" s="28" t="n"/>
      <c r="O19" s="28" t="n"/>
      <c r="P19" s="28" t="n">
        <v>8</v>
      </c>
      <c r="Q19" s="28" t="inlineStr">
        <is>
          <t>moyenne</t>
        </is>
      </c>
      <c r="R19" s="28" t="inlineStr">
        <is>
          <t>oui</t>
        </is>
      </c>
      <c r="S19" s="29" t="inlineStr"/>
    </row>
    <row r="20" ht="20" customHeight="1">
      <c r="A20" s="28" t="inlineStr">
        <is>
          <t>T019</t>
        </is>
      </c>
      <c r="B20" s="28" t="inlineStr">
        <is>
          <t>N003</t>
        </is>
      </c>
      <c r="C20" s="30" t="n">
        <v>46117</v>
      </c>
      <c r="D20" s="28" t="inlineStr">
        <is>
          <t>T400</t>
        </is>
      </c>
      <c r="E20" s="28" t="inlineStr">
        <is>
          <t>crawl</t>
        </is>
      </c>
      <c r="F20" s="28" t="n">
        <v>25</v>
      </c>
      <c r="G20" s="28" t="inlineStr">
        <is>
          <t>poussee</t>
        </is>
      </c>
      <c r="H20" s="28" t="inlineStr">
        <is>
          <t>test_dedie</t>
        </is>
      </c>
      <c r="I20" s="28" t="n"/>
      <c r="J20" s="28" t="inlineStr">
        <is>
          <t>6:40.00</t>
        </is>
      </c>
      <c r="K20" s="19">
        <f>IF(J20="","",IF(ISNUMBER(J20),IF(J20&lt;1,J20*86400,J20),IF(ISNUMBER(FIND(":",J20)),VALUE(LEFT(J20,FIND(":",J20)-1))*60+VALUE(SUBSTITUTE(MID(J20,FIND(":",J20)+1,20),",",".")),VALUE(SUBSTITUTE(J20,",",".")))))</f>
        <v/>
      </c>
      <c r="L20" s="13">
        <f>IF(I20&lt;&gt;"",I20,SWITCH(D20,"T50",50,"T100",100,"T200",200,"T400",400,"CSS",400,""))</f>
        <v/>
      </c>
      <c r="M20" s="19">
        <f>IF(OR(K20="",L20=""),"",K20*100/L20)</f>
        <v/>
      </c>
      <c r="N20" s="28" t="n"/>
      <c r="O20" s="28" t="n"/>
      <c r="P20" s="28" t="n">
        <v>8</v>
      </c>
      <c r="Q20" s="28" t="inlineStr">
        <is>
          <t>moyenne</t>
        </is>
      </c>
      <c r="R20" s="28" t="inlineStr">
        <is>
          <t>oui</t>
        </is>
      </c>
      <c r="S20" s="29" t="inlineStr"/>
    </row>
    <row r="21" ht="20" customHeight="1">
      <c r="A21" s="28" t="inlineStr">
        <is>
          <t>T020</t>
        </is>
      </c>
      <c r="B21" s="28" t="inlineStr">
        <is>
          <t>N003</t>
        </is>
      </c>
      <c r="C21" s="30" t="n">
        <v>46194</v>
      </c>
      <c r="D21" s="28" t="inlineStr">
        <is>
          <t>T100</t>
        </is>
      </c>
      <c r="E21" s="28" t="inlineStr">
        <is>
          <t>crawl</t>
        </is>
      </c>
      <c r="F21" s="28" t="n">
        <v>25</v>
      </c>
      <c r="G21" s="28" t="inlineStr">
        <is>
          <t>poussee</t>
        </is>
      </c>
      <c r="H21" s="28" t="inlineStr">
        <is>
          <t>test_dedie</t>
        </is>
      </c>
      <c r="I21" s="28" t="n"/>
      <c r="J21" s="28" t="inlineStr">
        <is>
          <t>1:28.00</t>
        </is>
      </c>
      <c r="K21" s="19">
        <f>IF(J21="","",IF(ISNUMBER(J21),IF(J21&lt;1,J21*86400,J21),IF(ISNUMBER(FIND(":",J21)),VALUE(LEFT(J21,FIND(":",J21)-1))*60+VALUE(SUBSTITUTE(MID(J21,FIND(":",J21)+1,20),",",".")),VALUE(SUBSTITUTE(J21,",",".")))))</f>
        <v/>
      </c>
      <c r="L21" s="13">
        <f>IF(I21&lt;&gt;"",I21,SWITCH(D21,"T50",50,"T100",100,"T200",200,"T400",400,"CSS",400,""))</f>
        <v/>
      </c>
      <c r="M21" s="19">
        <f>IF(OR(K21="",L21=""),"",K21*100/L21)</f>
        <v/>
      </c>
      <c r="N21" s="28" t="n"/>
      <c r="O21" s="28" t="n"/>
      <c r="P21" s="28" t="n">
        <v>8</v>
      </c>
      <c r="Q21" s="28" t="inlineStr">
        <is>
          <t>bonne</t>
        </is>
      </c>
      <c r="R21" s="28" t="inlineStr">
        <is>
          <t>oui</t>
        </is>
      </c>
      <c r="S21" s="29" t="inlineStr"/>
    </row>
    <row r="22" ht="20" customHeight="1">
      <c r="A22" s="28" t="inlineStr">
        <is>
          <t>T021</t>
        </is>
      </c>
      <c r="B22" s="28" t="inlineStr">
        <is>
          <t>N003</t>
        </is>
      </c>
      <c r="C22" s="30" t="n">
        <v>46194</v>
      </c>
      <c r="D22" s="28" t="inlineStr">
        <is>
          <t>T200</t>
        </is>
      </c>
      <c r="E22" s="28" t="inlineStr">
        <is>
          <t>crawl</t>
        </is>
      </c>
      <c r="F22" s="28" t="n">
        <v>25</v>
      </c>
      <c r="G22" s="28" t="inlineStr">
        <is>
          <t>poussee</t>
        </is>
      </c>
      <c r="H22" s="28" t="inlineStr">
        <is>
          <t>test_dedie</t>
        </is>
      </c>
      <c r="I22" s="28" t="n"/>
      <c r="J22" s="28" t="inlineStr">
        <is>
          <t>3:05.00</t>
        </is>
      </c>
      <c r="K22" s="19">
        <f>IF(J22="","",IF(ISNUMBER(J22),IF(J22&lt;1,J22*86400,J22),IF(ISNUMBER(FIND(":",J22)),VALUE(LEFT(J22,FIND(":",J22)-1))*60+VALUE(SUBSTITUTE(MID(J22,FIND(":",J22)+1,20),",",".")),VALUE(SUBSTITUTE(J22,",",".")))))</f>
        <v/>
      </c>
      <c r="L22" s="13">
        <f>IF(I22&lt;&gt;"",I22,SWITCH(D22,"T50",50,"T100",100,"T200",200,"T400",400,"CSS",400,""))</f>
        <v/>
      </c>
      <c r="M22" s="19">
        <f>IF(OR(K22="",L22=""),"",K22*100/L22)</f>
        <v/>
      </c>
      <c r="N22" s="28" t="n"/>
      <c r="O22" s="28" t="n"/>
      <c r="P22" s="28" t="n">
        <v>8</v>
      </c>
      <c r="Q22" s="28" t="inlineStr">
        <is>
          <t>bonne</t>
        </is>
      </c>
      <c r="R22" s="28" t="inlineStr">
        <is>
          <t>oui</t>
        </is>
      </c>
      <c r="S22" s="29" t="inlineStr"/>
    </row>
    <row r="23" ht="20" customHeight="1">
      <c r="A23" s="28" t="inlineStr">
        <is>
          <t>T022</t>
        </is>
      </c>
      <c r="B23" s="28" t="inlineStr">
        <is>
          <t>N003</t>
        </is>
      </c>
      <c r="C23" s="30" t="n">
        <v>46194</v>
      </c>
      <c r="D23" s="28" t="inlineStr">
        <is>
          <t>T400</t>
        </is>
      </c>
      <c r="E23" s="28" t="inlineStr">
        <is>
          <t>crawl</t>
        </is>
      </c>
      <c r="F23" s="28" t="n">
        <v>25</v>
      </c>
      <c r="G23" s="28" t="inlineStr">
        <is>
          <t>poussee</t>
        </is>
      </c>
      <c r="H23" s="28" t="inlineStr">
        <is>
          <t>test_dedie</t>
        </is>
      </c>
      <c r="I23" s="28" t="n"/>
      <c r="J23" s="28" t="inlineStr">
        <is>
          <t>6:20.00</t>
        </is>
      </c>
      <c r="K23" s="19">
        <f>IF(J23="","",IF(ISNUMBER(J23),IF(J23&lt;1,J23*86400,J23),IF(ISNUMBER(FIND(":",J23)),VALUE(LEFT(J23,FIND(":",J23)-1))*60+VALUE(SUBSTITUTE(MID(J23,FIND(":",J23)+1,20),",",".")),VALUE(SUBSTITUTE(J23,",",".")))))</f>
        <v/>
      </c>
      <c r="L23" s="13">
        <f>IF(I23&lt;&gt;"",I23,SWITCH(D23,"T50",50,"T100",100,"T200",200,"T400",400,"CSS",400,""))</f>
        <v/>
      </c>
      <c r="M23" s="19">
        <f>IF(OR(K23="",L23=""),"",K23*100/L23)</f>
        <v/>
      </c>
      <c r="N23" s="28" t="n"/>
      <c r="O23" s="28" t="n"/>
      <c r="P23" s="28" t="n">
        <v>8</v>
      </c>
      <c r="Q23" s="28" t="inlineStr">
        <is>
          <t>bonne</t>
        </is>
      </c>
      <c r="R23" s="28" t="inlineStr">
        <is>
          <t>oui</t>
        </is>
      </c>
      <c r="S23" s="29" t="inlineStr"/>
    </row>
    <row r="24" ht="20" customHeight="1">
      <c r="A24" s="28" t="inlineStr">
        <is>
          <t>T023</t>
        </is>
      </c>
      <c r="B24" s="28" t="inlineStr">
        <is>
          <t>N003</t>
        </is>
      </c>
      <c r="C24" s="30" t="n">
        <v>46236</v>
      </c>
      <c r="D24" s="28" t="inlineStr">
        <is>
          <t>T100</t>
        </is>
      </c>
      <c r="E24" s="28" t="inlineStr">
        <is>
          <t>crawl</t>
        </is>
      </c>
      <c r="F24" s="28" t="n">
        <v>25</v>
      </c>
      <c r="G24" s="28" t="inlineStr">
        <is>
          <t>poussee</t>
        </is>
      </c>
      <c r="H24" s="28" t="inlineStr">
        <is>
          <t>test_dedie</t>
        </is>
      </c>
      <c r="I24" s="28" t="n"/>
      <c r="J24" s="28" t="inlineStr">
        <is>
          <t>1:26.50</t>
        </is>
      </c>
      <c r="K24" s="19">
        <f>IF(J24="","",IF(ISNUMBER(J24),IF(J24&lt;1,J24*86400,J24),IF(ISNUMBER(FIND(":",J24)),VALUE(LEFT(J24,FIND(":",J24)-1))*60+VALUE(SUBSTITUTE(MID(J24,FIND(":",J24)+1,20),",",".")),VALUE(SUBSTITUTE(J24,",",".")))))</f>
        <v/>
      </c>
      <c r="L24" s="13">
        <f>IF(I24&lt;&gt;"",I24,SWITCH(D24,"T50",50,"T100",100,"T200",200,"T400",400,"CSS",400,""))</f>
        <v/>
      </c>
      <c r="M24" s="19">
        <f>IF(OR(K24="",L24=""),"",K24*100/L24)</f>
        <v/>
      </c>
      <c r="N24" s="28" t="n"/>
      <c r="O24" s="28" t="n"/>
      <c r="P24" s="28" t="n">
        <v>7</v>
      </c>
      <c r="Q24" s="28" t="inlineStr">
        <is>
          <t>bonne</t>
        </is>
      </c>
      <c r="R24" s="28" t="inlineStr">
        <is>
          <t>oui</t>
        </is>
      </c>
      <c r="S24" s="29" t="inlineStr">
        <is>
          <t>Avant spécifique</t>
        </is>
      </c>
    </row>
    <row r="25">
      <c r="A25" s="28" t="n"/>
      <c r="B25" s="28" t="n"/>
      <c r="C25" s="30" t="n"/>
      <c r="D25" s="28" t="n"/>
      <c r="E25" s="28" t="n"/>
      <c r="F25" s="28" t="n"/>
      <c r="G25" s="28" t="n"/>
      <c r="H25" s="28" t="n"/>
      <c r="I25" s="28" t="n"/>
      <c r="J25" s="28" t="n"/>
      <c r="K25" s="19">
        <f>IF(J25="","",IF(ISNUMBER(J25),IF(J25&lt;1,J25*86400,J25),IF(ISNUMBER(FIND(":",J25)),VALUE(LEFT(J25,FIND(":",J25)-1))*60+VALUE(SUBSTITUTE(MID(J25,FIND(":",J25)+1,20),",",".")),VALUE(SUBSTITUTE(J25,",",".")))))</f>
        <v/>
      </c>
      <c r="L25" s="13">
        <f>IF(I25&lt;&gt;"",I25,SWITCH(D25,"T50",50,"T100",100,"T200",200,"T400",400,"CSS",400,""))</f>
        <v/>
      </c>
      <c r="M25" s="19">
        <f>IF(OR(K25="",L25=""),"",K25*100/L25)</f>
        <v/>
      </c>
      <c r="N25" s="28" t="n"/>
      <c r="O25" s="28" t="n"/>
      <c r="P25" s="28" t="n"/>
      <c r="Q25" s="28" t="n"/>
      <c r="R25" s="28" t="n"/>
      <c r="S25" s="28" t="n"/>
    </row>
    <row r="26">
      <c r="A26" s="28" t="n"/>
      <c r="B26" s="28" t="n"/>
      <c r="C26" s="30" t="n"/>
      <c r="D26" s="28" t="n"/>
      <c r="E26" s="28" t="n"/>
      <c r="F26" s="28" t="n"/>
      <c r="G26" s="28" t="n"/>
      <c r="H26" s="28" t="n"/>
      <c r="I26" s="28" t="n"/>
      <c r="J26" s="28" t="n"/>
      <c r="K26" s="19">
        <f>IF(J26="","",IF(ISNUMBER(J26),IF(J26&lt;1,J26*86400,J26),IF(ISNUMBER(FIND(":",J26)),VALUE(LEFT(J26,FIND(":",J26)-1))*60+VALUE(SUBSTITUTE(MID(J26,FIND(":",J26)+1,20),",",".")),VALUE(SUBSTITUTE(J26,",",".")))))</f>
        <v/>
      </c>
      <c r="L26" s="13">
        <f>IF(I26&lt;&gt;"",I26,SWITCH(D26,"T50",50,"T100",100,"T200",200,"T400",400,"CSS",400,""))</f>
        <v/>
      </c>
      <c r="M26" s="19">
        <f>IF(OR(K26="",L26=""),"",K26*100/L26)</f>
        <v/>
      </c>
      <c r="N26" s="28" t="n"/>
      <c r="O26" s="28" t="n"/>
      <c r="P26" s="28" t="n"/>
      <c r="Q26" s="28" t="n"/>
      <c r="R26" s="28" t="n"/>
      <c r="S26" s="28" t="n"/>
    </row>
    <row r="27">
      <c r="A27" s="28" t="n"/>
      <c r="B27" s="28" t="n"/>
      <c r="C27" s="30" t="n"/>
      <c r="D27" s="28" t="n"/>
      <c r="E27" s="28" t="n"/>
      <c r="F27" s="28" t="n"/>
      <c r="G27" s="28" t="n"/>
      <c r="H27" s="28" t="n"/>
      <c r="I27" s="28" t="n"/>
      <c r="J27" s="28" t="n"/>
      <c r="K27" s="19">
        <f>IF(J27="","",IF(ISNUMBER(J27),IF(J27&lt;1,J27*86400,J27),IF(ISNUMBER(FIND(":",J27)),VALUE(LEFT(J27,FIND(":",J27)-1))*60+VALUE(SUBSTITUTE(MID(J27,FIND(":",J27)+1,20),",",".")),VALUE(SUBSTITUTE(J27,",",".")))))</f>
        <v/>
      </c>
      <c r="L27" s="13">
        <f>IF(I27&lt;&gt;"",I27,SWITCH(D27,"T50",50,"T100",100,"T200",200,"T400",400,"CSS",400,""))</f>
        <v/>
      </c>
      <c r="M27" s="19">
        <f>IF(OR(K27="",L27=""),"",K27*100/L27)</f>
        <v/>
      </c>
      <c r="N27" s="28" t="n"/>
      <c r="O27" s="28" t="n"/>
      <c r="P27" s="28" t="n"/>
      <c r="Q27" s="28" t="n"/>
      <c r="R27" s="28" t="n"/>
      <c r="S27" s="28" t="n"/>
    </row>
    <row r="28">
      <c r="A28" s="28" t="n"/>
      <c r="B28" s="28" t="n"/>
      <c r="C28" s="30" t="n"/>
      <c r="D28" s="28" t="n"/>
      <c r="E28" s="28" t="n"/>
      <c r="F28" s="28" t="n"/>
      <c r="G28" s="28" t="n"/>
      <c r="H28" s="28" t="n"/>
      <c r="I28" s="28" t="n"/>
      <c r="J28" s="28" t="n"/>
      <c r="K28" s="19">
        <f>IF(J28="","",IF(ISNUMBER(J28),IF(J28&lt;1,J28*86400,J28),IF(ISNUMBER(FIND(":",J28)),VALUE(LEFT(J28,FIND(":",J28)-1))*60+VALUE(SUBSTITUTE(MID(J28,FIND(":",J28)+1,20),",",".")),VALUE(SUBSTITUTE(J28,",",".")))))</f>
        <v/>
      </c>
      <c r="L28" s="13">
        <f>IF(I28&lt;&gt;"",I28,SWITCH(D28,"T50",50,"T100",100,"T200",200,"T400",400,"CSS",400,""))</f>
        <v/>
      </c>
      <c r="M28" s="19">
        <f>IF(OR(K28="",L28=""),"",K28*100/L28)</f>
        <v/>
      </c>
      <c r="N28" s="28" t="n"/>
      <c r="O28" s="28" t="n"/>
      <c r="P28" s="28" t="n"/>
      <c r="Q28" s="28" t="n"/>
      <c r="R28" s="28" t="n"/>
      <c r="S28" s="28" t="n"/>
    </row>
    <row r="29">
      <c r="A29" s="28" t="n"/>
      <c r="B29" s="28" t="n"/>
      <c r="C29" s="30" t="n"/>
      <c r="D29" s="28" t="n"/>
      <c r="E29" s="28" t="n"/>
      <c r="F29" s="28" t="n"/>
      <c r="G29" s="28" t="n"/>
      <c r="H29" s="28" t="n"/>
      <c r="I29" s="28" t="n"/>
      <c r="J29" s="28" t="n"/>
      <c r="K29" s="19">
        <f>IF(J29="","",IF(ISNUMBER(J29),IF(J29&lt;1,J29*86400,J29),IF(ISNUMBER(FIND(":",J29)),VALUE(LEFT(J29,FIND(":",J29)-1))*60+VALUE(SUBSTITUTE(MID(J29,FIND(":",J29)+1,20),",",".")),VALUE(SUBSTITUTE(J29,",",".")))))</f>
        <v/>
      </c>
      <c r="L29" s="13">
        <f>IF(I29&lt;&gt;"",I29,SWITCH(D29,"T50",50,"T100",100,"T200",200,"T400",400,"CSS",400,""))</f>
        <v/>
      </c>
      <c r="M29" s="19">
        <f>IF(OR(K29="",L29=""),"",K29*100/L29)</f>
        <v/>
      </c>
      <c r="N29" s="28" t="n"/>
      <c r="O29" s="28" t="n"/>
      <c r="P29" s="28" t="n"/>
      <c r="Q29" s="28" t="n"/>
      <c r="R29" s="28" t="n"/>
      <c r="S29" s="28" t="n"/>
    </row>
    <row r="30">
      <c r="A30" s="28" t="n"/>
      <c r="B30" s="28" t="n"/>
      <c r="C30" s="30" t="n"/>
      <c r="D30" s="28" t="n"/>
      <c r="E30" s="28" t="n"/>
      <c r="F30" s="28" t="n"/>
      <c r="G30" s="28" t="n"/>
      <c r="H30" s="28" t="n"/>
      <c r="I30" s="28" t="n"/>
      <c r="J30" s="28" t="n"/>
      <c r="K30" s="19">
        <f>IF(J30="","",IF(ISNUMBER(J30),IF(J30&lt;1,J30*86400,J30),IF(ISNUMBER(FIND(":",J30)),VALUE(LEFT(J30,FIND(":",J30)-1))*60+VALUE(SUBSTITUTE(MID(J30,FIND(":",J30)+1,20),",",".")),VALUE(SUBSTITUTE(J30,",",".")))))</f>
        <v/>
      </c>
      <c r="L30" s="13">
        <f>IF(I30&lt;&gt;"",I30,SWITCH(D30,"T50",50,"T100",100,"T200",200,"T400",400,"CSS",400,""))</f>
        <v/>
      </c>
      <c r="M30" s="19">
        <f>IF(OR(K30="",L30=""),"",K30*100/L30)</f>
        <v/>
      </c>
      <c r="N30" s="28" t="n"/>
      <c r="O30" s="28" t="n"/>
      <c r="P30" s="28" t="n"/>
      <c r="Q30" s="28" t="n"/>
      <c r="R30" s="28" t="n"/>
      <c r="S30" s="28" t="n"/>
    </row>
    <row r="31">
      <c r="A31" s="28" t="n"/>
      <c r="B31" s="28" t="n"/>
      <c r="C31" s="30" t="n"/>
      <c r="D31" s="28" t="n"/>
      <c r="E31" s="28" t="n"/>
      <c r="F31" s="28" t="n"/>
      <c r="G31" s="28" t="n"/>
      <c r="H31" s="28" t="n"/>
      <c r="I31" s="28" t="n"/>
      <c r="J31" s="28" t="n"/>
      <c r="K31" s="19">
        <f>IF(J31="","",IF(ISNUMBER(J31),IF(J31&lt;1,J31*86400,J31),IF(ISNUMBER(FIND(":",J31)),VALUE(LEFT(J31,FIND(":",J31)-1))*60+VALUE(SUBSTITUTE(MID(J31,FIND(":",J31)+1,20),",",".")),VALUE(SUBSTITUTE(J31,",",".")))))</f>
        <v/>
      </c>
      <c r="L31" s="13">
        <f>IF(I31&lt;&gt;"",I31,SWITCH(D31,"T50",50,"T100",100,"T200",200,"T400",400,"CSS",400,""))</f>
        <v/>
      </c>
      <c r="M31" s="19">
        <f>IF(OR(K31="",L31=""),"",K31*100/L31)</f>
        <v/>
      </c>
      <c r="N31" s="28" t="n"/>
      <c r="O31" s="28" t="n"/>
      <c r="P31" s="28" t="n"/>
      <c r="Q31" s="28" t="n"/>
      <c r="R31" s="28" t="n"/>
      <c r="S31" s="28" t="n"/>
    </row>
    <row r="32">
      <c r="A32" s="28" t="n"/>
      <c r="B32" s="28" t="n"/>
      <c r="C32" s="30" t="n"/>
      <c r="D32" s="28" t="n"/>
      <c r="E32" s="28" t="n"/>
      <c r="F32" s="28" t="n"/>
      <c r="G32" s="28" t="n"/>
      <c r="H32" s="28" t="n"/>
      <c r="I32" s="28" t="n"/>
      <c r="J32" s="28" t="n"/>
      <c r="K32" s="19">
        <f>IF(J32="","",IF(ISNUMBER(J32),IF(J32&lt;1,J32*86400,J32),IF(ISNUMBER(FIND(":",J32)),VALUE(LEFT(J32,FIND(":",J32)-1))*60+VALUE(SUBSTITUTE(MID(J32,FIND(":",J32)+1,20),",",".")),VALUE(SUBSTITUTE(J32,",",".")))))</f>
        <v/>
      </c>
      <c r="L32" s="13">
        <f>IF(I32&lt;&gt;"",I32,SWITCH(D32,"T50",50,"T100",100,"T200",200,"T400",400,"CSS",400,""))</f>
        <v/>
      </c>
      <c r="M32" s="19">
        <f>IF(OR(K32="",L32=""),"",K32*100/L32)</f>
        <v/>
      </c>
      <c r="N32" s="28" t="n"/>
      <c r="O32" s="28" t="n"/>
      <c r="P32" s="28" t="n"/>
      <c r="Q32" s="28" t="n"/>
      <c r="R32" s="28" t="n"/>
      <c r="S32" s="28" t="n"/>
    </row>
    <row r="33">
      <c r="A33" s="28" t="n"/>
      <c r="B33" s="28" t="n"/>
      <c r="C33" s="30" t="n"/>
      <c r="D33" s="28" t="n"/>
      <c r="E33" s="28" t="n"/>
      <c r="F33" s="28" t="n"/>
      <c r="G33" s="28" t="n"/>
      <c r="H33" s="28" t="n"/>
      <c r="I33" s="28" t="n"/>
      <c r="J33" s="28" t="n"/>
      <c r="K33" s="19">
        <f>IF(J33="","",IF(ISNUMBER(J33),IF(J33&lt;1,J33*86400,J33),IF(ISNUMBER(FIND(":",J33)),VALUE(LEFT(J33,FIND(":",J33)-1))*60+VALUE(SUBSTITUTE(MID(J33,FIND(":",J33)+1,20),",",".")),VALUE(SUBSTITUTE(J33,",",".")))))</f>
        <v/>
      </c>
      <c r="L33" s="13">
        <f>IF(I33&lt;&gt;"",I33,SWITCH(D33,"T50",50,"T100",100,"T200",200,"T400",400,"CSS",400,""))</f>
        <v/>
      </c>
      <c r="M33" s="19">
        <f>IF(OR(K33="",L33=""),"",K33*100/L33)</f>
        <v/>
      </c>
      <c r="N33" s="28" t="n"/>
      <c r="O33" s="28" t="n"/>
      <c r="P33" s="28" t="n"/>
      <c r="Q33" s="28" t="n"/>
      <c r="R33" s="28" t="n"/>
      <c r="S33" s="28" t="n"/>
    </row>
    <row r="34">
      <c r="A34" s="28" t="n"/>
      <c r="B34" s="28" t="n"/>
      <c r="C34" s="30" t="n"/>
      <c r="D34" s="28" t="n"/>
      <c r="E34" s="28" t="n"/>
      <c r="F34" s="28" t="n"/>
      <c r="G34" s="28" t="n"/>
      <c r="H34" s="28" t="n"/>
      <c r="I34" s="28" t="n"/>
      <c r="J34" s="28" t="n"/>
      <c r="K34" s="19">
        <f>IF(J34="","",IF(ISNUMBER(J34),IF(J34&lt;1,J34*86400,J34),IF(ISNUMBER(FIND(":",J34)),VALUE(LEFT(J34,FIND(":",J34)-1))*60+VALUE(SUBSTITUTE(MID(J34,FIND(":",J34)+1,20),",",".")),VALUE(SUBSTITUTE(J34,",",".")))))</f>
        <v/>
      </c>
      <c r="L34" s="13">
        <f>IF(I34&lt;&gt;"",I34,SWITCH(D34,"T50",50,"T100",100,"T200",200,"T400",400,"CSS",400,""))</f>
        <v/>
      </c>
      <c r="M34" s="19">
        <f>IF(OR(K34="",L34=""),"",K34*100/L34)</f>
        <v/>
      </c>
      <c r="N34" s="28" t="n"/>
      <c r="O34" s="28" t="n"/>
      <c r="P34" s="28" t="n"/>
      <c r="Q34" s="28" t="n"/>
      <c r="R34" s="28" t="n"/>
      <c r="S34" s="28" t="n"/>
    </row>
    <row r="35">
      <c r="A35" s="28" t="n"/>
      <c r="B35" s="28" t="n"/>
      <c r="C35" s="30" t="n"/>
      <c r="D35" s="28" t="n"/>
      <c r="E35" s="28" t="n"/>
      <c r="F35" s="28" t="n"/>
      <c r="G35" s="28" t="n"/>
      <c r="H35" s="28" t="n"/>
      <c r="I35" s="28" t="n"/>
      <c r="J35" s="28" t="n"/>
      <c r="K35" s="19">
        <f>IF(J35="","",IF(ISNUMBER(J35),IF(J35&lt;1,J35*86400,J35),IF(ISNUMBER(FIND(":",J35)),VALUE(LEFT(J35,FIND(":",J35)-1))*60+VALUE(SUBSTITUTE(MID(J35,FIND(":",J35)+1,20),",",".")),VALUE(SUBSTITUTE(J35,",",".")))))</f>
        <v/>
      </c>
      <c r="L35" s="13">
        <f>IF(I35&lt;&gt;"",I35,SWITCH(D35,"T50",50,"T100",100,"T200",200,"T400",400,"CSS",400,""))</f>
        <v/>
      </c>
      <c r="M35" s="19">
        <f>IF(OR(K35="",L35=""),"",K35*100/L35)</f>
        <v/>
      </c>
      <c r="N35" s="28" t="n"/>
      <c r="O35" s="28" t="n"/>
      <c r="P35" s="28" t="n"/>
      <c r="Q35" s="28" t="n"/>
      <c r="R35" s="28" t="n"/>
      <c r="S35" s="28" t="n"/>
    </row>
    <row r="36">
      <c r="A36" s="28" t="n"/>
      <c r="B36" s="28" t="n"/>
      <c r="C36" s="30" t="n"/>
      <c r="D36" s="28" t="n"/>
      <c r="E36" s="28" t="n"/>
      <c r="F36" s="28" t="n"/>
      <c r="G36" s="28" t="n"/>
      <c r="H36" s="28" t="n"/>
      <c r="I36" s="28" t="n"/>
      <c r="J36" s="28" t="n"/>
      <c r="K36" s="19">
        <f>IF(J36="","",IF(ISNUMBER(J36),IF(J36&lt;1,J36*86400,J36),IF(ISNUMBER(FIND(":",J36)),VALUE(LEFT(J36,FIND(":",J36)-1))*60+VALUE(SUBSTITUTE(MID(J36,FIND(":",J36)+1,20),",",".")),VALUE(SUBSTITUTE(J36,",",".")))))</f>
        <v/>
      </c>
      <c r="L36" s="13">
        <f>IF(I36&lt;&gt;"",I36,SWITCH(D36,"T50",50,"T100",100,"T200",200,"T400",400,"CSS",400,""))</f>
        <v/>
      </c>
      <c r="M36" s="19">
        <f>IF(OR(K36="",L36=""),"",K36*100/L36)</f>
        <v/>
      </c>
      <c r="N36" s="28" t="n"/>
      <c r="O36" s="28" t="n"/>
      <c r="P36" s="28" t="n"/>
      <c r="Q36" s="28" t="n"/>
      <c r="R36" s="28" t="n"/>
      <c r="S36" s="28" t="n"/>
    </row>
    <row r="37">
      <c r="A37" s="28" t="n"/>
      <c r="B37" s="28" t="n"/>
      <c r="C37" s="30" t="n"/>
      <c r="D37" s="28" t="n"/>
      <c r="E37" s="28" t="n"/>
      <c r="F37" s="28" t="n"/>
      <c r="G37" s="28" t="n"/>
      <c r="H37" s="28" t="n"/>
      <c r="I37" s="28" t="n"/>
      <c r="J37" s="28" t="n"/>
      <c r="K37" s="19">
        <f>IF(J37="","",IF(ISNUMBER(J37),IF(J37&lt;1,J37*86400,J37),IF(ISNUMBER(FIND(":",J37)),VALUE(LEFT(J37,FIND(":",J37)-1))*60+VALUE(SUBSTITUTE(MID(J37,FIND(":",J37)+1,20),",",".")),VALUE(SUBSTITUTE(J37,",",".")))))</f>
        <v/>
      </c>
      <c r="L37" s="13">
        <f>IF(I37&lt;&gt;"",I37,SWITCH(D37,"T50",50,"T100",100,"T200",200,"T400",400,"CSS",400,""))</f>
        <v/>
      </c>
      <c r="M37" s="19">
        <f>IF(OR(K37="",L37=""),"",K37*100/L37)</f>
        <v/>
      </c>
      <c r="N37" s="28" t="n"/>
      <c r="O37" s="28" t="n"/>
      <c r="P37" s="28" t="n"/>
      <c r="Q37" s="28" t="n"/>
      <c r="R37" s="28" t="n"/>
      <c r="S37" s="28" t="n"/>
    </row>
    <row r="38">
      <c r="A38" s="28" t="n"/>
      <c r="B38" s="28" t="n"/>
      <c r="C38" s="30" t="n"/>
      <c r="D38" s="28" t="n"/>
      <c r="E38" s="28" t="n"/>
      <c r="F38" s="28" t="n"/>
      <c r="G38" s="28" t="n"/>
      <c r="H38" s="28" t="n"/>
      <c r="I38" s="28" t="n"/>
      <c r="J38" s="28" t="n"/>
      <c r="K38" s="19">
        <f>IF(J38="","",IF(ISNUMBER(J38),IF(J38&lt;1,J38*86400,J38),IF(ISNUMBER(FIND(":",J38)),VALUE(LEFT(J38,FIND(":",J38)-1))*60+VALUE(SUBSTITUTE(MID(J38,FIND(":",J38)+1,20),",",".")),VALUE(SUBSTITUTE(J38,",",".")))))</f>
        <v/>
      </c>
      <c r="L38" s="13">
        <f>IF(I38&lt;&gt;"",I38,SWITCH(D38,"T50",50,"T100",100,"T200",200,"T400",400,"CSS",400,""))</f>
        <v/>
      </c>
      <c r="M38" s="19">
        <f>IF(OR(K38="",L38=""),"",K38*100/L38)</f>
        <v/>
      </c>
      <c r="N38" s="28" t="n"/>
      <c r="O38" s="28" t="n"/>
      <c r="P38" s="28" t="n"/>
      <c r="Q38" s="28" t="n"/>
      <c r="R38" s="28" t="n"/>
      <c r="S38" s="28" t="n"/>
    </row>
    <row r="39">
      <c r="A39" s="28" t="n"/>
      <c r="B39" s="28" t="n"/>
      <c r="C39" s="30" t="n"/>
      <c r="D39" s="28" t="n"/>
      <c r="E39" s="28" t="n"/>
      <c r="F39" s="28" t="n"/>
      <c r="G39" s="28" t="n"/>
      <c r="H39" s="28" t="n"/>
      <c r="I39" s="28" t="n"/>
      <c r="J39" s="28" t="n"/>
      <c r="K39" s="19">
        <f>IF(J39="","",IF(ISNUMBER(J39),IF(J39&lt;1,J39*86400,J39),IF(ISNUMBER(FIND(":",J39)),VALUE(LEFT(J39,FIND(":",J39)-1))*60+VALUE(SUBSTITUTE(MID(J39,FIND(":",J39)+1,20),",",".")),VALUE(SUBSTITUTE(J39,",",".")))))</f>
        <v/>
      </c>
      <c r="L39" s="13">
        <f>IF(I39&lt;&gt;"",I39,SWITCH(D39,"T50",50,"T100",100,"T200",200,"T400",400,"CSS",400,""))</f>
        <v/>
      </c>
      <c r="M39" s="19">
        <f>IF(OR(K39="",L39=""),"",K39*100/L39)</f>
        <v/>
      </c>
      <c r="N39" s="28" t="n"/>
      <c r="O39" s="28" t="n"/>
      <c r="P39" s="28" t="n"/>
      <c r="Q39" s="28" t="n"/>
      <c r="R39" s="28" t="n"/>
      <c r="S39" s="28" t="n"/>
    </row>
    <row r="40">
      <c r="A40" s="28" t="n"/>
      <c r="B40" s="28" t="n"/>
      <c r="C40" s="30" t="n"/>
      <c r="D40" s="28" t="n"/>
      <c r="E40" s="28" t="n"/>
      <c r="F40" s="28" t="n"/>
      <c r="G40" s="28" t="n"/>
      <c r="H40" s="28" t="n"/>
      <c r="I40" s="28" t="n"/>
      <c r="J40" s="28" t="n"/>
      <c r="K40" s="19">
        <f>IF(J40="","",IF(ISNUMBER(J40),IF(J40&lt;1,J40*86400,J40),IF(ISNUMBER(FIND(":",J40)),VALUE(LEFT(J40,FIND(":",J40)-1))*60+VALUE(SUBSTITUTE(MID(J40,FIND(":",J40)+1,20),",",".")),VALUE(SUBSTITUTE(J40,",",".")))))</f>
        <v/>
      </c>
      <c r="L40" s="13">
        <f>IF(I40&lt;&gt;"",I40,SWITCH(D40,"T50",50,"T100",100,"T200",200,"T400",400,"CSS",400,""))</f>
        <v/>
      </c>
      <c r="M40" s="19">
        <f>IF(OR(K40="",L40=""),"",K40*100/L40)</f>
        <v/>
      </c>
      <c r="N40" s="28" t="n"/>
      <c r="O40" s="28" t="n"/>
      <c r="P40" s="28" t="n"/>
      <c r="Q40" s="28" t="n"/>
      <c r="R40" s="28" t="n"/>
      <c r="S40" s="28" t="n"/>
    </row>
    <row r="41">
      <c r="A41" s="28" t="n"/>
      <c r="B41" s="28" t="n"/>
      <c r="C41" s="30" t="n"/>
      <c r="D41" s="28" t="n"/>
      <c r="E41" s="28" t="n"/>
      <c r="F41" s="28" t="n"/>
      <c r="G41" s="28" t="n"/>
      <c r="H41" s="28" t="n"/>
      <c r="I41" s="28" t="n"/>
      <c r="J41" s="28" t="n"/>
      <c r="K41" s="19">
        <f>IF(J41="","",IF(ISNUMBER(J41),IF(J41&lt;1,J41*86400,J41),IF(ISNUMBER(FIND(":",J41)),VALUE(LEFT(J41,FIND(":",J41)-1))*60+VALUE(SUBSTITUTE(MID(J41,FIND(":",J41)+1,20),",",".")),VALUE(SUBSTITUTE(J41,",",".")))))</f>
        <v/>
      </c>
      <c r="L41" s="13">
        <f>IF(I41&lt;&gt;"",I41,SWITCH(D41,"T50",50,"T100",100,"T200",200,"T400",400,"CSS",400,""))</f>
        <v/>
      </c>
      <c r="M41" s="19">
        <f>IF(OR(K41="",L41=""),"",K41*100/L41)</f>
        <v/>
      </c>
      <c r="N41" s="28" t="n"/>
      <c r="O41" s="28" t="n"/>
      <c r="P41" s="28" t="n"/>
      <c r="Q41" s="28" t="n"/>
      <c r="R41" s="28" t="n"/>
      <c r="S41" s="28" t="n"/>
    </row>
    <row r="42">
      <c r="A42" s="28" t="n"/>
      <c r="B42" s="28" t="n"/>
      <c r="C42" s="30" t="n"/>
      <c r="D42" s="28" t="n"/>
      <c r="E42" s="28" t="n"/>
      <c r="F42" s="28" t="n"/>
      <c r="G42" s="28" t="n"/>
      <c r="H42" s="28" t="n"/>
      <c r="I42" s="28" t="n"/>
      <c r="J42" s="28" t="n"/>
      <c r="K42" s="19">
        <f>IF(J42="","",IF(ISNUMBER(J42),IF(J42&lt;1,J42*86400,J42),IF(ISNUMBER(FIND(":",J42)),VALUE(LEFT(J42,FIND(":",J42)-1))*60+VALUE(SUBSTITUTE(MID(J42,FIND(":",J42)+1,20),",",".")),VALUE(SUBSTITUTE(J42,",",".")))))</f>
        <v/>
      </c>
      <c r="L42" s="13">
        <f>IF(I42&lt;&gt;"",I42,SWITCH(D42,"T50",50,"T100",100,"T200",200,"T400",400,"CSS",400,""))</f>
        <v/>
      </c>
      <c r="M42" s="19">
        <f>IF(OR(K42="",L42=""),"",K42*100/L42)</f>
        <v/>
      </c>
      <c r="N42" s="28" t="n"/>
      <c r="O42" s="28" t="n"/>
      <c r="P42" s="28" t="n"/>
      <c r="Q42" s="28" t="n"/>
      <c r="R42" s="28" t="n"/>
      <c r="S42" s="28" t="n"/>
    </row>
    <row r="43">
      <c r="A43" s="28" t="n"/>
      <c r="B43" s="28" t="n"/>
      <c r="C43" s="30" t="n"/>
      <c r="D43" s="28" t="n"/>
      <c r="E43" s="28" t="n"/>
      <c r="F43" s="28" t="n"/>
      <c r="G43" s="28" t="n"/>
      <c r="H43" s="28" t="n"/>
      <c r="I43" s="28" t="n"/>
      <c r="J43" s="28" t="n"/>
      <c r="K43" s="19">
        <f>IF(J43="","",IF(ISNUMBER(J43),IF(J43&lt;1,J43*86400,J43),IF(ISNUMBER(FIND(":",J43)),VALUE(LEFT(J43,FIND(":",J43)-1))*60+VALUE(SUBSTITUTE(MID(J43,FIND(":",J43)+1,20),",",".")),VALUE(SUBSTITUTE(J43,",",".")))))</f>
        <v/>
      </c>
      <c r="L43" s="13">
        <f>IF(I43&lt;&gt;"",I43,SWITCH(D43,"T50",50,"T100",100,"T200",200,"T400",400,"CSS",400,""))</f>
        <v/>
      </c>
      <c r="M43" s="19">
        <f>IF(OR(K43="",L43=""),"",K43*100/L43)</f>
        <v/>
      </c>
      <c r="N43" s="28" t="n"/>
      <c r="O43" s="28" t="n"/>
      <c r="P43" s="28" t="n"/>
      <c r="Q43" s="28" t="n"/>
      <c r="R43" s="28" t="n"/>
      <c r="S43" s="28" t="n"/>
    </row>
    <row r="44">
      <c r="A44" s="28" t="n"/>
      <c r="B44" s="28" t="n"/>
      <c r="C44" s="30" t="n"/>
      <c r="D44" s="28" t="n"/>
      <c r="E44" s="28" t="n"/>
      <c r="F44" s="28" t="n"/>
      <c r="G44" s="28" t="n"/>
      <c r="H44" s="28" t="n"/>
      <c r="I44" s="28" t="n"/>
      <c r="J44" s="28" t="n"/>
      <c r="K44" s="19">
        <f>IF(J44="","",IF(ISNUMBER(J44),IF(J44&lt;1,J44*86400,J44),IF(ISNUMBER(FIND(":",J44)),VALUE(LEFT(J44,FIND(":",J44)-1))*60+VALUE(SUBSTITUTE(MID(J44,FIND(":",J44)+1,20),",",".")),VALUE(SUBSTITUTE(J44,",",".")))))</f>
        <v/>
      </c>
      <c r="L44" s="13">
        <f>IF(I44&lt;&gt;"",I44,SWITCH(D44,"T50",50,"T100",100,"T200",200,"T400",400,"CSS",400,""))</f>
        <v/>
      </c>
      <c r="M44" s="19">
        <f>IF(OR(K44="",L44=""),"",K44*100/L44)</f>
        <v/>
      </c>
      <c r="N44" s="28" t="n"/>
      <c r="O44" s="28" t="n"/>
      <c r="P44" s="28" t="n"/>
      <c r="Q44" s="28" t="n"/>
      <c r="R44" s="28" t="n"/>
      <c r="S44" s="28" t="n"/>
    </row>
    <row r="45">
      <c r="A45" s="28" t="n"/>
      <c r="B45" s="28" t="n"/>
      <c r="C45" s="30" t="n"/>
      <c r="D45" s="28" t="n"/>
      <c r="E45" s="28" t="n"/>
      <c r="F45" s="28" t="n"/>
      <c r="G45" s="28" t="n"/>
      <c r="H45" s="28" t="n"/>
      <c r="I45" s="28" t="n"/>
      <c r="J45" s="28" t="n"/>
      <c r="K45" s="19">
        <f>IF(J45="","",IF(ISNUMBER(J45),IF(J45&lt;1,J45*86400,J45),IF(ISNUMBER(FIND(":",J45)),VALUE(LEFT(J45,FIND(":",J45)-1))*60+VALUE(SUBSTITUTE(MID(J45,FIND(":",J45)+1,20),",",".")),VALUE(SUBSTITUTE(J45,",",".")))))</f>
        <v/>
      </c>
      <c r="L45" s="13">
        <f>IF(I45&lt;&gt;"",I45,SWITCH(D45,"T50",50,"T100",100,"T200",200,"T400",400,"CSS",400,""))</f>
        <v/>
      </c>
      <c r="M45" s="19">
        <f>IF(OR(K45="",L45=""),"",K45*100/L45)</f>
        <v/>
      </c>
      <c r="N45" s="28" t="n"/>
      <c r="O45" s="28" t="n"/>
      <c r="P45" s="28" t="n"/>
      <c r="Q45" s="28" t="n"/>
      <c r="R45" s="28" t="n"/>
      <c r="S45" s="28" t="n"/>
    </row>
    <row r="46">
      <c r="A46" s="28" t="n"/>
      <c r="B46" s="28" t="n"/>
      <c r="C46" s="30" t="n"/>
      <c r="D46" s="28" t="n"/>
      <c r="E46" s="28" t="n"/>
      <c r="F46" s="28" t="n"/>
      <c r="G46" s="28" t="n"/>
      <c r="H46" s="28" t="n"/>
      <c r="I46" s="28" t="n"/>
      <c r="J46" s="28" t="n"/>
      <c r="K46" s="19">
        <f>IF(J46="","",IF(ISNUMBER(J46),IF(J46&lt;1,J46*86400,J46),IF(ISNUMBER(FIND(":",J46)),VALUE(LEFT(J46,FIND(":",J46)-1))*60+VALUE(SUBSTITUTE(MID(J46,FIND(":",J46)+1,20),",",".")),VALUE(SUBSTITUTE(J46,",",".")))))</f>
        <v/>
      </c>
      <c r="L46" s="13">
        <f>IF(I46&lt;&gt;"",I46,SWITCH(D46,"T50",50,"T100",100,"T200",200,"T400",400,"CSS",400,""))</f>
        <v/>
      </c>
      <c r="M46" s="19">
        <f>IF(OR(K46="",L46=""),"",K46*100/L46)</f>
        <v/>
      </c>
      <c r="N46" s="28" t="n"/>
      <c r="O46" s="28" t="n"/>
      <c r="P46" s="28" t="n"/>
      <c r="Q46" s="28" t="n"/>
      <c r="R46" s="28" t="n"/>
      <c r="S46" s="28" t="n"/>
    </row>
    <row r="47">
      <c r="A47" s="28" t="n"/>
      <c r="B47" s="28" t="n"/>
      <c r="C47" s="30" t="n"/>
      <c r="D47" s="28" t="n"/>
      <c r="E47" s="28" t="n"/>
      <c r="F47" s="28" t="n"/>
      <c r="G47" s="28" t="n"/>
      <c r="H47" s="28" t="n"/>
      <c r="I47" s="28" t="n"/>
      <c r="J47" s="28" t="n"/>
      <c r="K47" s="19">
        <f>IF(J47="","",IF(ISNUMBER(J47),IF(J47&lt;1,J47*86400,J47),IF(ISNUMBER(FIND(":",J47)),VALUE(LEFT(J47,FIND(":",J47)-1))*60+VALUE(SUBSTITUTE(MID(J47,FIND(":",J47)+1,20),",",".")),VALUE(SUBSTITUTE(J47,",",".")))))</f>
        <v/>
      </c>
      <c r="L47" s="13">
        <f>IF(I47&lt;&gt;"",I47,SWITCH(D47,"T50",50,"T100",100,"T200",200,"T400",400,"CSS",400,""))</f>
        <v/>
      </c>
      <c r="M47" s="19">
        <f>IF(OR(K47="",L47=""),"",K47*100/L47)</f>
        <v/>
      </c>
      <c r="N47" s="28" t="n"/>
      <c r="O47" s="28" t="n"/>
      <c r="P47" s="28" t="n"/>
      <c r="Q47" s="28" t="n"/>
      <c r="R47" s="28" t="n"/>
      <c r="S47" s="28" t="n"/>
    </row>
    <row r="48">
      <c r="A48" s="28" t="n"/>
      <c r="B48" s="28" t="n"/>
      <c r="C48" s="30" t="n"/>
      <c r="D48" s="28" t="n"/>
      <c r="E48" s="28" t="n"/>
      <c r="F48" s="28" t="n"/>
      <c r="G48" s="28" t="n"/>
      <c r="H48" s="28" t="n"/>
      <c r="I48" s="28" t="n"/>
      <c r="J48" s="28" t="n"/>
      <c r="K48" s="19">
        <f>IF(J48="","",IF(ISNUMBER(J48),IF(J48&lt;1,J48*86400,J48),IF(ISNUMBER(FIND(":",J48)),VALUE(LEFT(J48,FIND(":",J48)-1))*60+VALUE(SUBSTITUTE(MID(J48,FIND(":",J48)+1,20),",",".")),VALUE(SUBSTITUTE(J48,",",".")))))</f>
        <v/>
      </c>
      <c r="L48" s="13">
        <f>IF(I48&lt;&gt;"",I48,SWITCH(D48,"T50",50,"T100",100,"T200",200,"T400",400,"CSS",400,""))</f>
        <v/>
      </c>
      <c r="M48" s="19">
        <f>IF(OR(K48="",L48=""),"",K48*100/L48)</f>
        <v/>
      </c>
      <c r="N48" s="28" t="n"/>
      <c r="O48" s="28" t="n"/>
      <c r="P48" s="28" t="n"/>
      <c r="Q48" s="28" t="n"/>
      <c r="R48" s="28" t="n"/>
      <c r="S48" s="28" t="n"/>
    </row>
    <row r="49">
      <c r="A49" s="28" t="n"/>
      <c r="B49" s="28" t="n"/>
      <c r="C49" s="30" t="n"/>
      <c r="D49" s="28" t="n"/>
      <c r="E49" s="28" t="n"/>
      <c r="F49" s="28" t="n"/>
      <c r="G49" s="28" t="n"/>
      <c r="H49" s="28" t="n"/>
      <c r="I49" s="28" t="n"/>
      <c r="J49" s="28" t="n"/>
      <c r="K49" s="19">
        <f>IF(J49="","",IF(ISNUMBER(J49),IF(J49&lt;1,J49*86400,J49),IF(ISNUMBER(FIND(":",J49)),VALUE(LEFT(J49,FIND(":",J49)-1))*60+VALUE(SUBSTITUTE(MID(J49,FIND(":",J49)+1,20),",",".")),VALUE(SUBSTITUTE(J49,",",".")))))</f>
        <v/>
      </c>
      <c r="L49" s="13">
        <f>IF(I49&lt;&gt;"",I49,SWITCH(D49,"T50",50,"T100",100,"T200",200,"T400",400,"CSS",400,""))</f>
        <v/>
      </c>
      <c r="M49" s="19">
        <f>IF(OR(K49="",L49=""),"",K49*100/L49)</f>
        <v/>
      </c>
      <c r="N49" s="28" t="n"/>
      <c r="O49" s="28" t="n"/>
      <c r="P49" s="28" t="n"/>
      <c r="Q49" s="28" t="n"/>
      <c r="R49" s="28" t="n"/>
      <c r="S49" s="28" t="n"/>
    </row>
    <row r="50">
      <c r="A50" s="28" t="n"/>
      <c r="B50" s="28" t="n"/>
      <c r="C50" s="30" t="n"/>
      <c r="D50" s="28" t="n"/>
      <c r="E50" s="28" t="n"/>
      <c r="F50" s="28" t="n"/>
      <c r="G50" s="28" t="n"/>
      <c r="H50" s="28" t="n"/>
      <c r="I50" s="28" t="n"/>
      <c r="J50" s="28" t="n"/>
      <c r="K50" s="19">
        <f>IF(J50="","",IF(ISNUMBER(J50),IF(J50&lt;1,J50*86400,J50),IF(ISNUMBER(FIND(":",J50)),VALUE(LEFT(J50,FIND(":",J50)-1))*60+VALUE(SUBSTITUTE(MID(J50,FIND(":",J50)+1,20),",",".")),VALUE(SUBSTITUTE(J50,",",".")))))</f>
        <v/>
      </c>
      <c r="L50" s="13">
        <f>IF(I50&lt;&gt;"",I50,SWITCH(D50,"T50",50,"T100",100,"T200",200,"T400",400,"CSS",400,""))</f>
        <v/>
      </c>
      <c r="M50" s="19">
        <f>IF(OR(K50="",L50=""),"",K50*100/L50)</f>
        <v/>
      </c>
      <c r="N50" s="28" t="n"/>
      <c r="O50" s="28" t="n"/>
      <c r="P50" s="28" t="n"/>
      <c r="Q50" s="28" t="n"/>
      <c r="R50" s="28" t="n"/>
      <c r="S50" s="28" t="n"/>
    </row>
    <row r="51">
      <c r="A51" s="28" t="n"/>
      <c r="B51" s="28" t="n"/>
      <c r="C51" s="30" t="n"/>
      <c r="D51" s="28" t="n"/>
      <c r="E51" s="28" t="n"/>
      <c r="F51" s="28" t="n"/>
      <c r="G51" s="28" t="n"/>
      <c r="H51" s="28" t="n"/>
      <c r="I51" s="28" t="n"/>
      <c r="J51" s="28" t="n"/>
      <c r="K51" s="19">
        <f>IF(J51="","",IF(ISNUMBER(J51),IF(J51&lt;1,J51*86400,J51),IF(ISNUMBER(FIND(":",J51)),VALUE(LEFT(J51,FIND(":",J51)-1))*60+VALUE(SUBSTITUTE(MID(J51,FIND(":",J51)+1,20),",",".")),VALUE(SUBSTITUTE(J51,",",".")))))</f>
        <v/>
      </c>
      <c r="L51" s="13">
        <f>IF(I51&lt;&gt;"",I51,SWITCH(D51,"T50",50,"T100",100,"T200",200,"T400",400,"CSS",400,""))</f>
        <v/>
      </c>
      <c r="M51" s="19">
        <f>IF(OR(K51="",L51=""),"",K51*100/L51)</f>
        <v/>
      </c>
      <c r="N51" s="28" t="n"/>
      <c r="O51" s="28" t="n"/>
      <c r="P51" s="28" t="n"/>
      <c r="Q51" s="28" t="n"/>
      <c r="R51" s="28" t="n"/>
      <c r="S51" s="28" t="n"/>
    </row>
    <row r="52">
      <c r="A52" s="28" t="n"/>
      <c r="B52" s="28" t="n"/>
      <c r="C52" s="30" t="n"/>
      <c r="D52" s="28" t="n"/>
      <c r="E52" s="28" t="n"/>
      <c r="F52" s="28" t="n"/>
      <c r="G52" s="28" t="n"/>
      <c r="H52" s="28" t="n"/>
      <c r="I52" s="28" t="n"/>
      <c r="J52" s="28" t="n"/>
      <c r="K52" s="19">
        <f>IF(J52="","",IF(ISNUMBER(J52),IF(J52&lt;1,J52*86400,J52),IF(ISNUMBER(FIND(":",J52)),VALUE(LEFT(J52,FIND(":",J52)-1))*60+VALUE(SUBSTITUTE(MID(J52,FIND(":",J52)+1,20),",",".")),VALUE(SUBSTITUTE(J52,",",".")))))</f>
        <v/>
      </c>
      <c r="L52" s="13">
        <f>IF(I52&lt;&gt;"",I52,SWITCH(D52,"T50",50,"T100",100,"T200",200,"T400",400,"CSS",400,""))</f>
        <v/>
      </c>
      <c r="M52" s="19">
        <f>IF(OR(K52="",L52=""),"",K52*100/L52)</f>
        <v/>
      </c>
      <c r="N52" s="28" t="n"/>
      <c r="O52" s="28" t="n"/>
      <c r="P52" s="28" t="n"/>
      <c r="Q52" s="28" t="n"/>
      <c r="R52" s="28" t="n"/>
      <c r="S52" s="28" t="n"/>
    </row>
    <row r="53">
      <c r="A53" s="28" t="n"/>
      <c r="B53" s="28" t="n"/>
      <c r="C53" s="30" t="n"/>
      <c r="D53" s="28" t="n"/>
      <c r="E53" s="28" t="n"/>
      <c r="F53" s="28" t="n"/>
      <c r="G53" s="28" t="n"/>
      <c r="H53" s="28" t="n"/>
      <c r="I53" s="28" t="n"/>
      <c r="J53" s="28" t="n"/>
      <c r="K53" s="19">
        <f>IF(J53="","",IF(ISNUMBER(J53),IF(J53&lt;1,J53*86400,J53),IF(ISNUMBER(FIND(":",J53)),VALUE(LEFT(J53,FIND(":",J53)-1))*60+VALUE(SUBSTITUTE(MID(J53,FIND(":",J53)+1,20),",",".")),VALUE(SUBSTITUTE(J53,",",".")))))</f>
        <v/>
      </c>
      <c r="L53" s="13">
        <f>IF(I53&lt;&gt;"",I53,SWITCH(D53,"T50",50,"T100",100,"T200",200,"T400",400,"CSS",400,""))</f>
        <v/>
      </c>
      <c r="M53" s="19">
        <f>IF(OR(K53="",L53=""),"",K53*100/L53)</f>
        <v/>
      </c>
      <c r="N53" s="28" t="n"/>
      <c r="O53" s="28" t="n"/>
      <c r="P53" s="28" t="n"/>
      <c r="Q53" s="28" t="n"/>
      <c r="R53" s="28" t="n"/>
      <c r="S53" s="28" t="n"/>
    </row>
    <row r="54">
      <c r="A54" s="28" t="n"/>
      <c r="B54" s="28" t="n"/>
      <c r="C54" s="30" t="n"/>
      <c r="D54" s="28" t="n"/>
      <c r="E54" s="28" t="n"/>
      <c r="F54" s="28" t="n"/>
      <c r="G54" s="28" t="n"/>
      <c r="H54" s="28" t="n"/>
      <c r="I54" s="28" t="n"/>
      <c r="J54" s="28" t="n"/>
      <c r="K54" s="19">
        <f>IF(J54="","",IF(ISNUMBER(J54),IF(J54&lt;1,J54*86400,J54),IF(ISNUMBER(FIND(":",J54)),VALUE(LEFT(J54,FIND(":",J54)-1))*60+VALUE(SUBSTITUTE(MID(J54,FIND(":",J54)+1,20),",",".")),VALUE(SUBSTITUTE(J54,",",".")))))</f>
        <v/>
      </c>
      <c r="L54" s="13">
        <f>IF(I54&lt;&gt;"",I54,SWITCH(D54,"T50",50,"T100",100,"T200",200,"T400",400,"CSS",400,""))</f>
        <v/>
      </c>
      <c r="M54" s="19">
        <f>IF(OR(K54="",L54=""),"",K54*100/L54)</f>
        <v/>
      </c>
      <c r="N54" s="28" t="n"/>
      <c r="O54" s="28" t="n"/>
      <c r="P54" s="28" t="n"/>
      <c r="Q54" s="28" t="n"/>
      <c r="R54" s="28" t="n"/>
      <c r="S54" s="28" t="n"/>
    </row>
    <row r="55">
      <c r="A55" s="28" t="n"/>
      <c r="B55" s="28" t="n"/>
      <c r="C55" s="30" t="n"/>
      <c r="D55" s="28" t="n"/>
      <c r="E55" s="28" t="n"/>
      <c r="F55" s="28" t="n"/>
      <c r="G55" s="28" t="n"/>
      <c r="H55" s="28" t="n"/>
      <c r="I55" s="28" t="n"/>
      <c r="J55" s="28" t="n"/>
      <c r="K55" s="19">
        <f>IF(J55="","",IF(ISNUMBER(J55),IF(J55&lt;1,J55*86400,J55),IF(ISNUMBER(FIND(":",J55)),VALUE(LEFT(J55,FIND(":",J55)-1))*60+VALUE(SUBSTITUTE(MID(J55,FIND(":",J55)+1,20),",",".")),VALUE(SUBSTITUTE(J55,",",".")))))</f>
        <v/>
      </c>
      <c r="L55" s="13">
        <f>IF(I55&lt;&gt;"",I55,SWITCH(D55,"T50",50,"T100",100,"T200",200,"T400",400,"CSS",400,""))</f>
        <v/>
      </c>
      <c r="M55" s="19">
        <f>IF(OR(K55="",L55=""),"",K55*100/L55)</f>
        <v/>
      </c>
      <c r="N55" s="28" t="n"/>
      <c r="O55" s="28" t="n"/>
      <c r="P55" s="28" t="n"/>
      <c r="Q55" s="28" t="n"/>
      <c r="R55" s="28" t="n"/>
      <c r="S55" s="28" t="n"/>
    </row>
    <row r="56">
      <c r="A56" s="28" t="n"/>
      <c r="B56" s="28" t="n"/>
      <c r="C56" s="30" t="n"/>
      <c r="D56" s="28" t="n"/>
      <c r="E56" s="28" t="n"/>
      <c r="F56" s="28" t="n"/>
      <c r="G56" s="28" t="n"/>
      <c r="H56" s="28" t="n"/>
      <c r="I56" s="28" t="n"/>
      <c r="J56" s="28" t="n"/>
      <c r="K56" s="19">
        <f>IF(J56="","",IF(ISNUMBER(J56),IF(J56&lt;1,J56*86400,J56),IF(ISNUMBER(FIND(":",J56)),VALUE(LEFT(J56,FIND(":",J56)-1))*60+VALUE(SUBSTITUTE(MID(J56,FIND(":",J56)+1,20),",",".")),VALUE(SUBSTITUTE(J56,",",".")))))</f>
        <v/>
      </c>
      <c r="L56" s="13">
        <f>IF(I56&lt;&gt;"",I56,SWITCH(D56,"T50",50,"T100",100,"T200",200,"T400",400,"CSS",400,""))</f>
        <v/>
      </c>
      <c r="M56" s="19">
        <f>IF(OR(K56="",L56=""),"",K56*100/L56)</f>
        <v/>
      </c>
      <c r="N56" s="28" t="n"/>
      <c r="O56" s="28" t="n"/>
      <c r="P56" s="28" t="n"/>
      <c r="Q56" s="28" t="n"/>
      <c r="R56" s="28" t="n"/>
      <c r="S56" s="28" t="n"/>
    </row>
    <row r="57">
      <c r="A57" s="28" t="n"/>
      <c r="B57" s="28" t="n"/>
      <c r="C57" s="30" t="n"/>
      <c r="D57" s="28" t="n"/>
      <c r="E57" s="28" t="n"/>
      <c r="F57" s="28" t="n"/>
      <c r="G57" s="28" t="n"/>
      <c r="H57" s="28" t="n"/>
      <c r="I57" s="28" t="n"/>
      <c r="J57" s="28" t="n"/>
      <c r="K57" s="19">
        <f>IF(J57="","",IF(ISNUMBER(J57),IF(J57&lt;1,J57*86400,J57),IF(ISNUMBER(FIND(":",J57)),VALUE(LEFT(J57,FIND(":",J57)-1))*60+VALUE(SUBSTITUTE(MID(J57,FIND(":",J57)+1,20),",",".")),VALUE(SUBSTITUTE(J57,",",".")))))</f>
        <v/>
      </c>
      <c r="L57" s="13">
        <f>IF(I57&lt;&gt;"",I57,SWITCH(D57,"T50",50,"T100",100,"T200",200,"T400",400,"CSS",400,""))</f>
        <v/>
      </c>
      <c r="M57" s="19">
        <f>IF(OR(K57="",L57=""),"",K57*100/L57)</f>
        <v/>
      </c>
      <c r="N57" s="28" t="n"/>
      <c r="O57" s="28" t="n"/>
      <c r="P57" s="28" t="n"/>
      <c r="Q57" s="28" t="n"/>
      <c r="R57" s="28" t="n"/>
      <c r="S57" s="28" t="n"/>
    </row>
    <row r="58">
      <c r="A58" s="28" t="n"/>
      <c r="B58" s="28" t="n"/>
      <c r="C58" s="30" t="n"/>
      <c r="D58" s="28" t="n"/>
      <c r="E58" s="28" t="n"/>
      <c r="F58" s="28" t="n"/>
      <c r="G58" s="28" t="n"/>
      <c r="H58" s="28" t="n"/>
      <c r="I58" s="28" t="n"/>
      <c r="J58" s="28" t="n"/>
      <c r="K58" s="19">
        <f>IF(J58="","",IF(ISNUMBER(J58),IF(J58&lt;1,J58*86400,J58),IF(ISNUMBER(FIND(":",J58)),VALUE(LEFT(J58,FIND(":",J58)-1))*60+VALUE(SUBSTITUTE(MID(J58,FIND(":",J58)+1,20),",",".")),VALUE(SUBSTITUTE(J58,",",".")))))</f>
        <v/>
      </c>
      <c r="L58" s="13">
        <f>IF(I58&lt;&gt;"",I58,SWITCH(D58,"T50",50,"T100",100,"T200",200,"T400",400,"CSS",400,""))</f>
        <v/>
      </c>
      <c r="M58" s="19">
        <f>IF(OR(K58="",L58=""),"",K58*100/L58)</f>
        <v/>
      </c>
      <c r="N58" s="28" t="n"/>
      <c r="O58" s="28" t="n"/>
      <c r="P58" s="28" t="n"/>
      <c r="Q58" s="28" t="n"/>
      <c r="R58" s="28" t="n"/>
      <c r="S58" s="28" t="n"/>
    </row>
    <row r="59">
      <c r="A59" s="28" t="n"/>
      <c r="B59" s="28" t="n"/>
      <c r="C59" s="30" t="n"/>
      <c r="D59" s="28" t="n"/>
      <c r="E59" s="28" t="n"/>
      <c r="F59" s="28" t="n"/>
      <c r="G59" s="28" t="n"/>
      <c r="H59" s="28" t="n"/>
      <c r="I59" s="28" t="n"/>
      <c r="J59" s="28" t="n"/>
      <c r="K59" s="19">
        <f>IF(J59="","",IF(ISNUMBER(J59),IF(J59&lt;1,J59*86400,J59),IF(ISNUMBER(FIND(":",J59)),VALUE(LEFT(J59,FIND(":",J59)-1))*60+VALUE(SUBSTITUTE(MID(J59,FIND(":",J59)+1,20),",",".")),VALUE(SUBSTITUTE(J59,",",".")))))</f>
        <v/>
      </c>
      <c r="L59" s="13">
        <f>IF(I59&lt;&gt;"",I59,SWITCH(D59,"T50",50,"T100",100,"T200",200,"T400",400,"CSS",400,""))</f>
        <v/>
      </c>
      <c r="M59" s="19">
        <f>IF(OR(K59="",L59=""),"",K59*100/L59)</f>
        <v/>
      </c>
      <c r="N59" s="28" t="n"/>
      <c r="O59" s="28" t="n"/>
      <c r="P59" s="28" t="n"/>
      <c r="Q59" s="28" t="n"/>
      <c r="R59" s="28" t="n"/>
      <c r="S59" s="28" t="n"/>
    </row>
    <row r="60">
      <c r="A60" s="28" t="n"/>
      <c r="B60" s="28" t="n"/>
      <c r="C60" s="30" t="n"/>
      <c r="D60" s="28" t="n"/>
      <c r="E60" s="28" t="n"/>
      <c r="F60" s="28" t="n"/>
      <c r="G60" s="28" t="n"/>
      <c r="H60" s="28" t="n"/>
      <c r="I60" s="28" t="n"/>
      <c r="J60" s="28" t="n"/>
      <c r="K60" s="19">
        <f>IF(J60="","",IF(ISNUMBER(J60),IF(J60&lt;1,J60*86400,J60),IF(ISNUMBER(FIND(":",J60)),VALUE(LEFT(J60,FIND(":",J60)-1))*60+VALUE(SUBSTITUTE(MID(J60,FIND(":",J60)+1,20),",",".")),VALUE(SUBSTITUTE(J60,",",".")))))</f>
        <v/>
      </c>
      <c r="L60" s="13">
        <f>IF(I60&lt;&gt;"",I60,SWITCH(D60,"T50",50,"T100",100,"T200",200,"T400",400,"CSS",400,""))</f>
        <v/>
      </c>
      <c r="M60" s="19">
        <f>IF(OR(K60="",L60=""),"",K60*100/L60)</f>
        <v/>
      </c>
      <c r="N60" s="28" t="n"/>
      <c r="O60" s="28" t="n"/>
      <c r="P60" s="28" t="n"/>
      <c r="Q60" s="28" t="n"/>
      <c r="R60" s="28" t="n"/>
      <c r="S60" s="28" t="n"/>
    </row>
    <row r="61">
      <c r="A61" s="28" t="n"/>
      <c r="B61" s="28" t="n"/>
      <c r="C61" s="30" t="n"/>
      <c r="D61" s="28" t="n"/>
      <c r="E61" s="28" t="n"/>
      <c r="F61" s="28" t="n"/>
      <c r="G61" s="28" t="n"/>
      <c r="H61" s="28" t="n"/>
      <c r="I61" s="28" t="n"/>
      <c r="J61" s="28" t="n"/>
      <c r="K61" s="19">
        <f>IF(J61="","",IF(ISNUMBER(J61),IF(J61&lt;1,J61*86400,J61),IF(ISNUMBER(FIND(":",J61)),VALUE(LEFT(J61,FIND(":",J61)-1))*60+VALUE(SUBSTITUTE(MID(J61,FIND(":",J61)+1,20),",",".")),VALUE(SUBSTITUTE(J61,",",".")))))</f>
        <v/>
      </c>
      <c r="L61" s="13">
        <f>IF(I61&lt;&gt;"",I61,SWITCH(D61,"T50",50,"T100",100,"T200",200,"T400",400,"CSS",400,""))</f>
        <v/>
      </c>
      <c r="M61" s="19">
        <f>IF(OR(K61="",L61=""),"",K61*100/L61)</f>
        <v/>
      </c>
      <c r="N61" s="28" t="n"/>
      <c r="O61" s="28" t="n"/>
      <c r="P61" s="28" t="n"/>
      <c r="Q61" s="28" t="n"/>
      <c r="R61" s="28" t="n"/>
      <c r="S61" s="28" t="n"/>
    </row>
    <row r="62">
      <c r="A62" s="28" t="n"/>
      <c r="B62" s="28" t="n"/>
      <c r="C62" s="30" t="n"/>
      <c r="D62" s="28" t="n"/>
      <c r="E62" s="28" t="n"/>
      <c r="F62" s="28" t="n"/>
      <c r="G62" s="28" t="n"/>
      <c r="H62" s="28" t="n"/>
      <c r="I62" s="28" t="n"/>
      <c r="J62" s="28" t="n"/>
      <c r="K62" s="19">
        <f>IF(J62="","",IF(ISNUMBER(J62),IF(J62&lt;1,J62*86400,J62),IF(ISNUMBER(FIND(":",J62)),VALUE(LEFT(J62,FIND(":",J62)-1))*60+VALUE(SUBSTITUTE(MID(J62,FIND(":",J62)+1,20),",",".")),VALUE(SUBSTITUTE(J62,",",".")))))</f>
        <v/>
      </c>
      <c r="L62" s="13">
        <f>IF(I62&lt;&gt;"",I62,SWITCH(D62,"T50",50,"T100",100,"T200",200,"T400",400,"CSS",400,""))</f>
        <v/>
      </c>
      <c r="M62" s="19">
        <f>IF(OR(K62="",L62=""),"",K62*100/L62)</f>
        <v/>
      </c>
      <c r="N62" s="28" t="n"/>
      <c r="O62" s="28" t="n"/>
      <c r="P62" s="28" t="n"/>
      <c r="Q62" s="28" t="n"/>
      <c r="R62" s="28" t="n"/>
      <c r="S62" s="28" t="n"/>
    </row>
    <row r="63">
      <c r="A63" s="28" t="n"/>
      <c r="B63" s="28" t="n"/>
      <c r="C63" s="30" t="n"/>
      <c r="D63" s="28" t="n"/>
      <c r="E63" s="28" t="n"/>
      <c r="F63" s="28" t="n"/>
      <c r="G63" s="28" t="n"/>
      <c r="H63" s="28" t="n"/>
      <c r="I63" s="28" t="n"/>
      <c r="J63" s="28" t="n"/>
      <c r="K63" s="19">
        <f>IF(J63="","",IF(ISNUMBER(J63),IF(J63&lt;1,J63*86400,J63),IF(ISNUMBER(FIND(":",J63)),VALUE(LEFT(J63,FIND(":",J63)-1))*60+VALUE(SUBSTITUTE(MID(J63,FIND(":",J63)+1,20),",",".")),VALUE(SUBSTITUTE(J63,",",".")))))</f>
        <v/>
      </c>
      <c r="L63" s="13">
        <f>IF(I63&lt;&gt;"",I63,SWITCH(D63,"T50",50,"T100",100,"T200",200,"T400",400,"CSS",400,""))</f>
        <v/>
      </c>
      <c r="M63" s="19">
        <f>IF(OR(K63="",L63=""),"",K63*100/L63)</f>
        <v/>
      </c>
      <c r="N63" s="28" t="n"/>
      <c r="O63" s="28" t="n"/>
      <c r="P63" s="28" t="n"/>
      <c r="Q63" s="28" t="n"/>
      <c r="R63" s="28" t="n"/>
      <c r="S63" s="28" t="n"/>
    </row>
    <row r="64">
      <c r="A64" s="28" t="n"/>
      <c r="B64" s="28" t="n"/>
      <c r="C64" s="30" t="n"/>
      <c r="D64" s="28" t="n"/>
      <c r="E64" s="28" t="n"/>
      <c r="F64" s="28" t="n"/>
      <c r="G64" s="28" t="n"/>
      <c r="H64" s="28" t="n"/>
      <c r="I64" s="28" t="n"/>
      <c r="J64" s="28" t="n"/>
      <c r="K64" s="19">
        <f>IF(J64="","",IF(ISNUMBER(J64),IF(J64&lt;1,J64*86400,J64),IF(ISNUMBER(FIND(":",J64)),VALUE(LEFT(J64,FIND(":",J64)-1))*60+VALUE(SUBSTITUTE(MID(J64,FIND(":",J64)+1,20),",",".")),VALUE(SUBSTITUTE(J64,",",".")))))</f>
        <v/>
      </c>
      <c r="L64" s="13">
        <f>IF(I64&lt;&gt;"",I64,SWITCH(D64,"T50",50,"T100",100,"T200",200,"T400",400,"CSS",400,""))</f>
        <v/>
      </c>
      <c r="M64" s="19">
        <f>IF(OR(K64="",L64=""),"",K64*100/L64)</f>
        <v/>
      </c>
      <c r="N64" s="28" t="n"/>
      <c r="O64" s="28" t="n"/>
      <c r="P64" s="28" t="n"/>
      <c r="Q64" s="28" t="n"/>
      <c r="R64" s="28" t="n"/>
      <c r="S64" s="28" t="n"/>
    </row>
    <row r="65">
      <c r="A65" s="28" t="n"/>
      <c r="B65" s="28" t="n"/>
      <c r="C65" s="30" t="n"/>
      <c r="D65" s="28" t="n"/>
      <c r="E65" s="28" t="n"/>
      <c r="F65" s="28" t="n"/>
      <c r="G65" s="28" t="n"/>
      <c r="H65" s="28" t="n"/>
      <c r="I65" s="28" t="n"/>
      <c r="J65" s="28" t="n"/>
      <c r="K65" s="19">
        <f>IF(J65="","",IF(ISNUMBER(J65),IF(J65&lt;1,J65*86400,J65),IF(ISNUMBER(FIND(":",J65)),VALUE(LEFT(J65,FIND(":",J65)-1))*60+VALUE(SUBSTITUTE(MID(J65,FIND(":",J65)+1,20),",",".")),VALUE(SUBSTITUTE(J65,",",".")))))</f>
        <v/>
      </c>
      <c r="L65" s="13">
        <f>IF(I65&lt;&gt;"",I65,SWITCH(D65,"T50",50,"T100",100,"T200",200,"T400",400,"CSS",400,""))</f>
        <v/>
      </c>
      <c r="M65" s="19">
        <f>IF(OR(K65="",L65=""),"",K65*100/L65)</f>
        <v/>
      </c>
      <c r="N65" s="28" t="n"/>
      <c r="O65" s="28" t="n"/>
      <c r="P65" s="28" t="n"/>
      <c r="Q65" s="28" t="n"/>
      <c r="R65" s="28" t="n"/>
      <c r="S65" s="28" t="n"/>
    </row>
    <row r="66">
      <c r="A66" s="28" t="n"/>
      <c r="B66" s="28" t="n"/>
      <c r="C66" s="30" t="n"/>
      <c r="D66" s="28" t="n"/>
      <c r="E66" s="28" t="n"/>
      <c r="F66" s="28" t="n"/>
      <c r="G66" s="28" t="n"/>
      <c r="H66" s="28" t="n"/>
      <c r="I66" s="28" t="n"/>
      <c r="J66" s="28" t="n"/>
      <c r="K66" s="19">
        <f>IF(J66="","",IF(ISNUMBER(J66),IF(J66&lt;1,J66*86400,J66),IF(ISNUMBER(FIND(":",J66)),VALUE(LEFT(J66,FIND(":",J66)-1))*60+VALUE(SUBSTITUTE(MID(J66,FIND(":",J66)+1,20),",",".")),VALUE(SUBSTITUTE(J66,",",".")))))</f>
        <v/>
      </c>
      <c r="L66" s="13">
        <f>IF(I66&lt;&gt;"",I66,SWITCH(D66,"T50",50,"T100",100,"T200",200,"T400",400,"CSS",400,""))</f>
        <v/>
      </c>
      <c r="M66" s="19">
        <f>IF(OR(K66="",L66=""),"",K66*100/L66)</f>
        <v/>
      </c>
      <c r="N66" s="28" t="n"/>
      <c r="O66" s="28" t="n"/>
      <c r="P66" s="28" t="n"/>
      <c r="Q66" s="28" t="n"/>
      <c r="R66" s="28" t="n"/>
      <c r="S66" s="28" t="n"/>
    </row>
    <row r="67">
      <c r="A67" s="28" t="n"/>
      <c r="B67" s="28" t="n"/>
      <c r="C67" s="30" t="n"/>
      <c r="D67" s="28" t="n"/>
      <c r="E67" s="28" t="n"/>
      <c r="F67" s="28" t="n"/>
      <c r="G67" s="28" t="n"/>
      <c r="H67" s="28" t="n"/>
      <c r="I67" s="28" t="n"/>
      <c r="J67" s="28" t="n"/>
      <c r="K67" s="19">
        <f>IF(J67="","",IF(ISNUMBER(J67),IF(J67&lt;1,J67*86400,J67),IF(ISNUMBER(FIND(":",J67)),VALUE(LEFT(J67,FIND(":",J67)-1))*60+VALUE(SUBSTITUTE(MID(J67,FIND(":",J67)+1,20),",",".")),VALUE(SUBSTITUTE(J67,",",".")))))</f>
        <v/>
      </c>
      <c r="L67" s="13">
        <f>IF(I67&lt;&gt;"",I67,SWITCH(D67,"T50",50,"T100",100,"T200",200,"T400",400,"CSS",400,""))</f>
        <v/>
      </c>
      <c r="M67" s="19">
        <f>IF(OR(K67="",L67=""),"",K67*100/L67)</f>
        <v/>
      </c>
      <c r="N67" s="28" t="n"/>
      <c r="O67" s="28" t="n"/>
      <c r="P67" s="28" t="n"/>
      <c r="Q67" s="28" t="n"/>
      <c r="R67" s="28" t="n"/>
      <c r="S67" s="28" t="n"/>
    </row>
    <row r="68">
      <c r="A68" s="28" t="n"/>
      <c r="B68" s="28" t="n"/>
      <c r="C68" s="30" t="n"/>
      <c r="D68" s="28" t="n"/>
      <c r="E68" s="28" t="n"/>
      <c r="F68" s="28" t="n"/>
      <c r="G68" s="28" t="n"/>
      <c r="H68" s="28" t="n"/>
      <c r="I68" s="28" t="n"/>
      <c r="J68" s="28" t="n"/>
      <c r="K68" s="19">
        <f>IF(J68="","",IF(ISNUMBER(J68),IF(J68&lt;1,J68*86400,J68),IF(ISNUMBER(FIND(":",J68)),VALUE(LEFT(J68,FIND(":",J68)-1))*60+VALUE(SUBSTITUTE(MID(J68,FIND(":",J68)+1,20),",",".")),VALUE(SUBSTITUTE(J68,",",".")))))</f>
        <v/>
      </c>
      <c r="L68" s="13">
        <f>IF(I68&lt;&gt;"",I68,SWITCH(D68,"T50",50,"T100",100,"T200",200,"T400",400,"CSS",400,""))</f>
        <v/>
      </c>
      <c r="M68" s="19">
        <f>IF(OR(K68="",L68=""),"",K68*100/L68)</f>
        <v/>
      </c>
      <c r="N68" s="28" t="n"/>
      <c r="O68" s="28" t="n"/>
      <c r="P68" s="28" t="n"/>
      <c r="Q68" s="28" t="n"/>
      <c r="R68" s="28" t="n"/>
      <c r="S68" s="28" t="n"/>
    </row>
    <row r="69">
      <c r="A69" s="28" t="n"/>
      <c r="B69" s="28" t="n"/>
      <c r="C69" s="30" t="n"/>
      <c r="D69" s="28" t="n"/>
      <c r="E69" s="28" t="n"/>
      <c r="F69" s="28" t="n"/>
      <c r="G69" s="28" t="n"/>
      <c r="H69" s="28" t="n"/>
      <c r="I69" s="28" t="n"/>
      <c r="J69" s="28" t="n"/>
      <c r="K69" s="19">
        <f>IF(J69="","",IF(ISNUMBER(J69),IF(J69&lt;1,J69*86400,J69),IF(ISNUMBER(FIND(":",J69)),VALUE(LEFT(J69,FIND(":",J69)-1))*60+VALUE(SUBSTITUTE(MID(J69,FIND(":",J69)+1,20),",",".")),VALUE(SUBSTITUTE(J69,",",".")))))</f>
        <v/>
      </c>
      <c r="L69" s="13">
        <f>IF(I69&lt;&gt;"",I69,SWITCH(D69,"T50",50,"T100",100,"T200",200,"T400",400,"CSS",400,""))</f>
        <v/>
      </c>
      <c r="M69" s="19">
        <f>IF(OR(K69="",L69=""),"",K69*100/L69)</f>
        <v/>
      </c>
      <c r="N69" s="28" t="n"/>
      <c r="O69" s="28" t="n"/>
      <c r="P69" s="28" t="n"/>
      <c r="Q69" s="28" t="n"/>
      <c r="R69" s="28" t="n"/>
      <c r="S69" s="28" t="n"/>
    </row>
    <row r="70">
      <c r="A70" s="28" t="n"/>
      <c r="B70" s="28" t="n"/>
      <c r="C70" s="30" t="n"/>
      <c r="D70" s="28" t="n"/>
      <c r="E70" s="28" t="n"/>
      <c r="F70" s="28" t="n"/>
      <c r="G70" s="28" t="n"/>
      <c r="H70" s="28" t="n"/>
      <c r="I70" s="28" t="n"/>
      <c r="J70" s="28" t="n"/>
      <c r="K70" s="19">
        <f>IF(J70="","",IF(ISNUMBER(J70),IF(J70&lt;1,J70*86400,J70),IF(ISNUMBER(FIND(":",J70)),VALUE(LEFT(J70,FIND(":",J70)-1))*60+VALUE(SUBSTITUTE(MID(J70,FIND(":",J70)+1,20),",",".")),VALUE(SUBSTITUTE(J70,",",".")))))</f>
        <v/>
      </c>
      <c r="L70" s="13">
        <f>IF(I70&lt;&gt;"",I70,SWITCH(D70,"T50",50,"T100",100,"T200",200,"T400",400,"CSS",400,""))</f>
        <v/>
      </c>
      <c r="M70" s="19">
        <f>IF(OR(K70="",L70=""),"",K70*100/L70)</f>
        <v/>
      </c>
      <c r="N70" s="28" t="n"/>
      <c r="O70" s="28" t="n"/>
      <c r="P70" s="28" t="n"/>
      <c r="Q70" s="28" t="n"/>
      <c r="R70" s="28" t="n"/>
      <c r="S70" s="28" t="n"/>
    </row>
    <row r="71">
      <c r="A71" s="28" t="n"/>
      <c r="B71" s="28" t="n"/>
      <c r="C71" s="30" t="n"/>
      <c r="D71" s="28" t="n"/>
      <c r="E71" s="28" t="n"/>
      <c r="F71" s="28" t="n"/>
      <c r="G71" s="28" t="n"/>
      <c r="H71" s="28" t="n"/>
      <c r="I71" s="28" t="n"/>
      <c r="J71" s="28" t="n"/>
      <c r="K71" s="19">
        <f>IF(J71="","",IF(ISNUMBER(J71),IF(J71&lt;1,J71*86400,J71),IF(ISNUMBER(FIND(":",J71)),VALUE(LEFT(J71,FIND(":",J71)-1))*60+VALUE(SUBSTITUTE(MID(J71,FIND(":",J71)+1,20),",",".")),VALUE(SUBSTITUTE(J71,",",".")))))</f>
        <v/>
      </c>
      <c r="L71" s="13">
        <f>IF(I71&lt;&gt;"",I71,SWITCH(D71,"T50",50,"T100",100,"T200",200,"T400",400,"CSS",400,""))</f>
        <v/>
      </c>
      <c r="M71" s="19">
        <f>IF(OR(K71="",L71=""),"",K71*100/L71)</f>
        <v/>
      </c>
      <c r="N71" s="28" t="n"/>
      <c r="O71" s="28" t="n"/>
      <c r="P71" s="28" t="n"/>
      <c r="Q71" s="28" t="n"/>
      <c r="R71" s="28" t="n"/>
      <c r="S71" s="28" t="n"/>
    </row>
    <row r="72">
      <c r="A72" s="28" t="n"/>
      <c r="B72" s="28" t="n"/>
      <c r="C72" s="30" t="n"/>
      <c r="D72" s="28" t="n"/>
      <c r="E72" s="28" t="n"/>
      <c r="F72" s="28" t="n"/>
      <c r="G72" s="28" t="n"/>
      <c r="H72" s="28" t="n"/>
      <c r="I72" s="28" t="n"/>
      <c r="J72" s="28" t="n"/>
      <c r="K72" s="19">
        <f>IF(J72="","",IF(ISNUMBER(J72),IF(J72&lt;1,J72*86400,J72),IF(ISNUMBER(FIND(":",J72)),VALUE(LEFT(J72,FIND(":",J72)-1))*60+VALUE(SUBSTITUTE(MID(J72,FIND(":",J72)+1,20),",",".")),VALUE(SUBSTITUTE(J72,",",".")))))</f>
        <v/>
      </c>
      <c r="L72" s="13">
        <f>IF(I72&lt;&gt;"",I72,SWITCH(D72,"T50",50,"T100",100,"T200",200,"T400",400,"CSS",400,""))</f>
        <v/>
      </c>
      <c r="M72" s="19">
        <f>IF(OR(K72="",L72=""),"",K72*100/L72)</f>
        <v/>
      </c>
      <c r="N72" s="28" t="n"/>
      <c r="O72" s="28" t="n"/>
      <c r="P72" s="28" t="n"/>
      <c r="Q72" s="28" t="n"/>
      <c r="R72" s="28" t="n"/>
      <c r="S72" s="28" t="n"/>
    </row>
    <row r="73">
      <c r="A73" s="28" t="n"/>
      <c r="B73" s="28" t="n"/>
      <c r="C73" s="30" t="n"/>
      <c r="D73" s="28" t="n"/>
      <c r="E73" s="28" t="n"/>
      <c r="F73" s="28" t="n"/>
      <c r="G73" s="28" t="n"/>
      <c r="H73" s="28" t="n"/>
      <c r="I73" s="28" t="n"/>
      <c r="J73" s="28" t="n"/>
      <c r="K73" s="19">
        <f>IF(J73="","",IF(ISNUMBER(J73),IF(J73&lt;1,J73*86400,J73),IF(ISNUMBER(FIND(":",J73)),VALUE(LEFT(J73,FIND(":",J73)-1))*60+VALUE(SUBSTITUTE(MID(J73,FIND(":",J73)+1,20),",",".")),VALUE(SUBSTITUTE(J73,",",".")))))</f>
        <v/>
      </c>
      <c r="L73" s="13">
        <f>IF(I73&lt;&gt;"",I73,SWITCH(D73,"T50",50,"T100",100,"T200",200,"T400",400,"CSS",400,""))</f>
        <v/>
      </c>
      <c r="M73" s="19">
        <f>IF(OR(K73="",L73=""),"",K73*100/L73)</f>
        <v/>
      </c>
      <c r="N73" s="28" t="n"/>
      <c r="O73" s="28" t="n"/>
      <c r="P73" s="28" t="n"/>
      <c r="Q73" s="28" t="n"/>
      <c r="R73" s="28" t="n"/>
      <c r="S73" s="28" t="n"/>
    </row>
    <row r="74">
      <c r="A74" s="28" t="n"/>
      <c r="B74" s="28" t="n"/>
      <c r="C74" s="30" t="n"/>
      <c r="D74" s="28" t="n"/>
      <c r="E74" s="28" t="n"/>
      <c r="F74" s="28" t="n"/>
      <c r="G74" s="28" t="n"/>
      <c r="H74" s="28" t="n"/>
      <c r="I74" s="28" t="n"/>
      <c r="J74" s="28" t="n"/>
      <c r="K74" s="19">
        <f>IF(J74="","",IF(ISNUMBER(J74),IF(J74&lt;1,J74*86400,J74),IF(ISNUMBER(FIND(":",J74)),VALUE(LEFT(J74,FIND(":",J74)-1))*60+VALUE(SUBSTITUTE(MID(J74,FIND(":",J74)+1,20),",",".")),VALUE(SUBSTITUTE(J74,",",".")))))</f>
        <v/>
      </c>
      <c r="L74" s="13">
        <f>IF(I74&lt;&gt;"",I74,SWITCH(D74,"T50",50,"T100",100,"T200",200,"T400",400,"CSS",400,""))</f>
        <v/>
      </c>
      <c r="M74" s="19">
        <f>IF(OR(K74="",L74=""),"",K74*100/L74)</f>
        <v/>
      </c>
      <c r="N74" s="28" t="n"/>
      <c r="O74" s="28" t="n"/>
      <c r="P74" s="28" t="n"/>
      <c r="Q74" s="28" t="n"/>
      <c r="R74" s="28" t="n"/>
      <c r="S74" s="28" t="n"/>
    </row>
    <row r="75">
      <c r="A75" s="28" t="n"/>
      <c r="B75" s="28" t="n"/>
      <c r="C75" s="30" t="n"/>
      <c r="D75" s="28" t="n"/>
      <c r="E75" s="28" t="n"/>
      <c r="F75" s="28" t="n"/>
      <c r="G75" s="28" t="n"/>
      <c r="H75" s="28" t="n"/>
      <c r="I75" s="28" t="n"/>
      <c r="J75" s="28" t="n"/>
      <c r="K75" s="19">
        <f>IF(J75="","",IF(ISNUMBER(J75),IF(J75&lt;1,J75*86400,J75),IF(ISNUMBER(FIND(":",J75)),VALUE(LEFT(J75,FIND(":",J75)-1))*60+VALUE(SUBSTITUTE(MID(J75,FIND(":",J75)+1,20),",",".")),VALUE(SUBSTITUTE(J75,",",".")))))</f>
        <v/>
      </c>
      <c r="L75" s="13">
        <f>IF(I75&lt;&gt;"",I75,SWITCH(D75,"T50",50,"T100",100,"T200",200,"T400",400,"CSS",400,""))</f>
        <v/>
      </c>
      <c r="M75" s="19">
        <f>IF(OR(K75="",L75=""),"",K75*100/L75)</f>
        <v/>
      </c>
      <c r="N75" s="28" t="n"/>
      <c r="O75" s="28" t="n"/>
      <c r="P75" s="28" t="n"/>
      <c r="Q75" s="28" t="n"/>
      <c r="R75" s="28" t="n"/>
      <c r="S75" s="28" t="n"/>
    </row>
    <row r="76">
      <c r="A76" s="28" t="n"/>
      <c r="B76" s="28" t="n"/>
      <c r="C76" s="30" t="n"/>
      <c r="D76" s="28" t="n"/>
      <c r="E76" s="28" t="n"/>
      <c r="F76" s="28" t="n"/>
      <c r="G76" s="28" t="n"/>
      <c r="H76" s="28" t="n"/>
      <c r="I76" s="28" t="n"/>
      <c r="J76" s="28" t="n"/>
      <c r="K76" s="19">
        <f>IF(J76="","",IF(ISNUMBER(J76),IF(J76&lt;1,J76*86400,J76),IF(ISNUMBER(FIND(":",J76)),VALUE(LEFT(J76,FIND(":",J76)-1))*60+VALUE(SUBSTITUTE(MID(J76,FIND(":",J76)+1,20),",",".")),VALUE(SUBSTITUTE(J76,",",".")))))</f>
        <v/>
      </c>
      <c r="L76" s="13">
        <f>IF(I76&lt;&gt;"",I76,SWITCH(D76,"T50",50,"T100",100,"T200",200,"T400",400,"CSS",400,""))</f>
        <v/>
      </c>
      <c r="M76" s="19">
        <f>IF(OR(K76="",L76=""),"",K76*100/L76)</f>
        <v/>
      </c>
      <c r="N76" s="28" t="n"/>
      <c r="O76" s="28" t="n"/>
      <c r="P76" s="28" t="n"/>
      <c r="Q76" s="28" t="n"/>
      <c r="R76" s="28" t="n"/>
      <c r="S76" s="28" t="n"/>
    </row>
    <row r="77">
      <c r="A77" s="28" t="n"/>
      <c r="B77" s="28" t="n"/>
      <c r="C77" s="30" t="n"/>
      <c r="D77" s="28" t="n"/>
      <c r="E77" s="28" t="n"/>
      <c r="F77" s="28" t="n"/>
      <c r="G77" s="28" t="n"/>
      <c r="H77" s="28" t="n"/>
      <c r="I77" s="28" t="n"/>
      <c r="J77" s="28" t="n"/>
      <c r="K77" s="19">
        <f>IF(J77="","",IF(ISNUMBER(J77),IF(J77&lt;1,J77*86400,J77),IF(ISNUMBER(FIND(":",J77)),VALUE(LEFT(J77,FIND(":",J77)-1))*60+VALUE(SUBSTITUTE(MID(J77,FIND(":",J77)+1,20),",",".")),VALUE(SUBSTITUTE(J77,",",".")))))</f>
        <v/>
      </c>
      <c r="L77" s="13">
        <f>IF(I77&lt;&gt;"",I77,SWITCH(D77,"T50",50,"T100",100,"T200",200,"T400",400,"CSS",400,""))</f>
        <v/>
      </c>
      <c r="M77" s="19">
        <f>IF(OR(K77="",L77=""),"",K77*100/L77)</f>
        <v/>
      </c>
      <c r="N77" s="28" t="n"/>
      <c r="O77" s="28" t="n"/>
      <c r="P77" s="28" t="n"/>
      <c r="Q77" s="28" t="n"/>
      <c r="R77" s="28" t="n"/>
      <c r="S77" s="28" t="n"/>
    </row>
    <row r="78">
      <c r="A78" s="28" t="n"/>
      <c r="B78" s="28" t="n"/>
      <c r="C78" s="30" t="n"/>
      <c r="D78" s="28" t="n"/>
      <c r="E78" s="28" t="n"/>
      <c r="F78" s="28" t="n"/>
      <c r="G78" s="28" t="n"/>
      <c r="H78" s="28" t="n"/>
      <c r="I78" s="28" t="n"/>
      <c r="J78" s="28" t="n"/>
      <c r="K78" s="19">
        <f>IF(J78="","",IF(ISNUMBER(J78),IF(J78&lt;1,J78*86400,J78),IF(ISNUMBER(FIND(":",J78)),VALUE(LEFT(J78,FIND(":",J78)-1))*60+VALUE(SUBSTITUTE(MID(J78,FIND(":",J78)+1,20),",",".")),VALUE(SUBSTITUTE(J78,",",".")))))</f>
        <v/>
      </c>
      <c r="L78" s="13">
        <f>IF(I78&lt;&gt;"",I78,SWITCH(D78,"T50",50,"T100",100,"T200",200,"T400",400,"CSS",400,""))</f>
        <v/>
      </c>
      <c r="M78" s="19">
        <f>IF(OR(K78="",L78=""),"",K78*100/L78)</f>
        <v/>
      </c>
      <c r="N78" s="28" t="n"/>
      <c r="O78" s="28" t="n"/>
      <c r="P78" s="28" t="n"/>
      <c r="Q78" s="28" t="n"/>
      <c r="R78" s="28" t="n"/>
      <c r="S78" s="28" t="n"/>
    </row>
    <row r="79">
      <c r="A79" s="28" t="n"/>
      <c r="B79" s="28" t="n"/>
      <c r="C79" s="30" t="n"/>
      <c r="D79" s="28" t="n"/>
      <c r="E79" s="28" t="n"/>
      <c r="F79" s="28" t="n"/>
      <c r="G79" s="28" t="n"/>
      <c r="H79" s="28" t="n"/>
      <c r="I79" s="28" t="n"/>
      <c r="J79" s="28" t="n"/>
      <c r="K79" s="19">
        <f>IF(J79="","",IF(ISNUMBER(J79),IF(J79&lt;1,J79*86400,J79),IF(ISNUMBER(FIND(":",J79)),VALUE(LEFT(J79,FIND(":",J79)-1))*60+VALUE(SUBSTITUTE(MID(J79,FIND(":",J79)+1,20),",",".")),VALUE(SUBSTITUTE(J79,",",".")))))</f>
        <v/>
      </c>
      <c r="L79" s="13">
        <f>IF(I79&lt;&gt;"",I79,SWITCH(D79,"T50",50,"T100",100,"T200",200,"T400",400,"CSS",400,""))</f>
        <v/>
      </c>
      <c r="M79" s="19">
        <f>IF(OR(K79="",L79=""),"",K79*100/L79)</f>
        <v/>
      </c>
      <c r="N79" s="28" t="n"/>
      <c r="O79" s="28" t="n"/>
      <c r="P79" s="28" t="n"/>
      <c r="Q79" s="28" t="n"/>
      <c r="R79" s="28" t="n"/>
      <c r="S79" s="28" t="n"/>
    </row>
    <row r="80">
      <c r="A80" s="28" t="n"/>
      <c r="B80" s="28" t="n"/>
      <c r="C80" s="30" t="n"/>
      <c r="D80" s="28" t="n"/>
      <c r="E80" s="28" t="n"/>
      <c r="F80" s="28" t="n"/>
      <c r="G80" s="28" t="n"/>
      <c r="H80" s="28" t="n"/>
      <c r="I80" s="28" t="n"/>
      <c r="J80" s="28" t="n"/>
      <c r="K80" s="19">
        <f>IF(J80="","",IF(ISNUMBER(J80),IF(J80&lt;1,J80*86400,J80),IF(ISNUMBER(FIND(":",J80)),VALUE(LEFT(J80,FIND(":",J80)-1))*60+VALUE(SUBSTITUTE(MID(J80,FIND(":",J80)+1,20),",",".")),VALUE(SUBSTITUTE(J80,",",".")))))</f>
        <v/>
      </c>
      <c r="L80" s="13">
        <f>IF(I80&lt;&gt;"",I80,SWITCH(D80,"T50",50,"T100",100,"T200",200,"T400",400,"CSS",400,""))</f>
        <v/>
      </c>
      <c r="M80" s="19">
        <f>IF(OR(K80="",L80=""),"",K80*100/L80)</f>
        <v/>
      </c>
      <c r="N80" s="28" t="n"/>
      <c r="O80" s="28" t="n"/>
      <c r="P80" s="28" t="n"/>
      <c r="Q80" s="28" t="n"/>
      <c r="R80" s="28" t="n"/>
      <c r="S80" s="28" t="n"/>
    </row>
  </sheetData>
  <dataValidations count="8">
    <dataValidation sqref="D2:D200" showDropDown="0" showInputMessage="1" showErrorMessage="1" allowBlank="1" errorTitle="Valeur hors liste" error="Choisis une valeur du menu." promptTitle="Liste" prompt="Protocole" type="list">
      <formula1>=liste_protocole</formula1>
    </dataValidation>
    <dataValidation sqref="E2:E200" showDropDown="0" showInputMessage="1" showErrorMessage="1" allowBlank="1" errorTitle="Valeur hors liste" error="Choisis une valeur du menu." promptTitle="Liste" prompt="Nage" type="list">
      <formula1>=liste_nage</formula1>
    </dataValidation>
    <dataValidation sqref="F2:F200" showDropDown="0" showInputMessage="1" showErrorMessage="1" allowBlank="1" errorTitle="Valeur hors liste" error="Choisis une valeur du menu." promptTitle="Liste" prompt="Bassin" type="list">
      <formula1>=liste_bassin</formula1>
    </dataValidation>
    <dataValidation sqref="G2:G200" showDropDown="0" showInputMessage="1" showErrorMessage="1" allowBlank="1" errorTitle="Valeur hors liste" error="Choisis une valeur du menu." promptTitle="Liste" prompt="Départ" type="list">
      <formula1>=liste_depart</formula1>
    </dataValidation>
    <dataValidation sqref="H2:H200" showDropDown="0" showInputMessage="1" showErrorMessage="1" allowBlank="1" errorTitle="Valeur hors liste" error="Choisis une valeur du menu." promptTitle="Liste" prompt="Contexte" type="list">
      <formula1>=liste_contexte</formula1>
    </dataValidation>
    <dataValidation sqref="Q2:Q200" showDropDown="0" showInputMessage="1" showErrorMessage="1" allowBlank="1" errorTitle="Valeur hors liste" error="Choisis une valeur du menu." promptTitle="Liste" prompt="Forme" type="list">
      <formula1>=liste_forme</formula1>
    </dataValidation>
    <dataValidation sqref="R2:R200" showDropDown="0" showInputMessage="1" showErrorMessage="1" allowBlank="1" errorTitle="Valeur hors liste" error="Choisis une valeur du menu." promptTitle="Liste" prompt="Chrono exploitable ?" type="list">
      <formula1>=liste_oui_non</formula1>
    </dataValidation>
    <dataValidation sqref="P2:P20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9BB0C8"/>
    <outlinePr summaryBelow="1" summaryRight="1"/>
    <pageSetUpPr/>
  </sheetPr>
  <dimension ref="A1:M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1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  <col width="28" customWidth="1" min="10" max="10"/>
    <col width="12" customWidth="1" min="11" max="11"/>
    <col width="12" customWidth="1" min="12" max="12"/>
    <col width="22" customWidth="1" min="13" max="13"/>
  </cols>
  <sheetData>
    <row r="1" ht="30" customHeight="1">
      <c r="A1" s="27" t="inlineStr">
        <is>
          <t>id_nageur</t>
        </is>
      </c>
      <c r="B1" s="27" t="inlineStr">
        <is>
          <t>date</t>
        </is>
      </c>
      <c r="C1" s="27" t="inlineStr">
        <is>
          <t>theme</t>
        </is>
      </c>
      <c r="D1" s="27" t="inlineStr">
        <is>
          <t>volume_m</t>
        </is>
      </c>
      <c r="E1" s="27" t="inlineStr">
        <is>
          <t>rpe</t>
        </is>
      </c>
      <c r="F1" s="27" t="inlineStr">
        <is>
          <t>faite</t>
        </is>
      </c>
      <c r="G1" s="27" t="inlineStr">
        <is>
          <t>type_semaine</t>
        </is>
      </c>
      <c r="H1" s="27" t="inlineStr">
        <is>
          <t>qualite</t>
        </is>
      </c>
      <c r="I1" s="27" t="inlineStr">
        <is>
          <t>lien_test</t>
        </is>
      </c>
      <c r="J1" s="27" t="inlineStr">
        <is>
          <t>notes</t>
        </is>
      </c>
      <c r="K1" s="27" t="inlineStr">
        <is>
          <t>lundi</t>
        </is>
      </c>
      <c r="L1" s="27" t="inlineStr">
        <is>
          <t>semaine_iso</t>
        </is>
      </c>
      <c r="M1" s="27" t="inlineStr">
        <is>
          <t>cle</t>
        </is>
      </c>
    </row>
    <row r="2" ht="18" customHeight="1">
      <c r="A2" s="28" t="inlineStr">
        <is>
          <t>N001</t>
        </is>
      </c>
      <c r="B2" s="30" t="n">
        <v>46203</v>
      </c>
      <c r="C2" s="28" t="inlineStr">
        <is>
          <t>technique</t>
        </is>
      </c>
      <c r="D2" s="28" t="n">
        <v>1800</v>
      </c>
      <c r="E2" s="28" t="n">
        <v>5</v>
      </c>
      <c r="F2" s="28" t="inlineStr">
        <is>
          <t>oui</t>
        </is>
      </c>
      <c r="G2" s="28" t="inlineStr">
        <is>
          <t>normale</t>
        </is>
      </c>
      <c r="H2" s="28" t="inlineStr">
        <is>
          <t>tenue</t>
        </is>
      </c>
      <c r="I2" s="28" t="inlineStr"/>
      <c r="J2" s="29" t="inlineStr"/>
      <c r="K2" s="14">
        <f>IF(B2="","",B2-WEEKDAY(B2,3))</f>
        <v/>
      </c>
      <c r="L2" s="13">
        <f>IF(K2="","",YEAR(K2)&amp;"-W"&amp;TEXT(ISOWEEKNUM(K2),"00"))</f>
        <v/>
      </c>
      <c r="M2" s="13">
        <f>IF(A2="","",A2&amp;"|"&amp;TEXT(K2,"YYYY-MM-DD"))</f>
        <v/>
      </c>
    </row>
    <row r="3" ht="18" customHeight="1">
      <c r="A3" s="28" t="inlineStr">
        <is>
          <t>N001</t>
        </is>
      </c>
      <c r="B3" s="30" t="n">
        <v>46205</v>
      </c>
      <c r="C3" s="28" t="inlineStr">
        <is>
          <t>endurance</t>
        </is>
      </c>
      <c r="D3" s="28" t="n">
        <v>2200</v>
      </c>
      <c r="E3" s="28" t="n">
        <v>6</v>
      </c>
      <c r="F3" s="28" t="inlineStr">
        <is>
          <t>oui</t>
        </is>
      </c>
      <c r="G3" s="28" t="inlineStr">
        <is>
          <t>normale</t>
        </is>
      </c>
      <c r="H3" s="28" t="inlineStr">
        <is>
          <t>tenue</t>
        </is>
      </c>
      <c r="I3" s="28" t="inlineStr"/>
      <c r="J3" s="29" t="inlineStr"/>
      <c r="K3" s="14">
        <f>IF(B3="","",B3-WEEKDAY(B3,3))</f>
        <v/>
      </c>
      <c r="L3" s="13">
        <f>IF(K3="","",YEAR(K3)&amp;"-W"&amp;TEXT(ISOWEEKNUM(K3),"00"))</f>
        <v/>
      </c>
      <c r="M3" s="13">
        <f>IF(A3="","",A3&amp;"|"&amp;TEXT(K3,"YYYY-MM-DD"))</f>
        <v/>
      </c>
    </row>
    <row r="4" ht="18" customHeight="1">
      <c r="A4" s="28" t="inlineStr">
        <is>
          <t>N001</t>
        </is>
      </c>
      <c r="B4" s="30" t="n">
        <v>46207</v>
      </c>
      <c r="C4" s="28" t="inlineStr">
        <is>
          <t>seuil</t>
        </is>
      </c>
      <c r="D4" s="28" t="n">
        <v>2000</v>
      </c>
      <c r="E4" s="28" t="n">
        <v>7</v>
      </c>
      <c r="F4" s="28" t="inlineStr">
        <is>
          <t>oui</t>
        </is>
      </c>
      <c r="G4" s="28" t="inlineStr">
        <is>
          <t>normale</t>
        </is>
      </c>
      <c r="H4" s="28" t="inlineStr">
        <is>
          <t>tenue</t>
        </is>
      </c>
      <c r="I4" s="28" t="inlineStr"/>
      <c r="J4" s="29" t="inlineStr">
        <is>
          <t>10x100</t>
        </is>
      </c>
      <c r="K4" s="14">
        <f>IF(B4="","",B4-WEEKDAY(B4,3))</f>
        <v/>
      </c>
      <c r="L4" s="13">
        <f>IF(K4="","",YEAR(K4)&amp;"-W"&amp;TEXT(ISOWEEKNUM(K4),"00"))</f>
        <v/>
      </c>
      <c r="M4" s="13">
        <f>IF(A4="","",A4&amp;"|"&amp;TEXT(K4,"YYYY-MM-DD"))</f>
        <v/>
      </c>
    </row>
    <row r="5" ht="18" customHeight="1">
      <c r="A5" s="28" t="inlineStr">
        <is>
          <t>N001</t>
        </is>
      </c>
      <c r="B5" s="30" t="n">
        <v>46210</v>
      </c>
      <c r="C5" s="28" t="inlineStr">
        <is>
          <t>technique</t>
        </is>
      </c>
      <c r="D5" s="28" t="n">
        <v>2000</v>
      </c>
      <c r="E5" s="28" t="n">
        <v>5</v>
      </c>
      <c r="F5" s="28" t="inlineStr">
        <is>
          <t>oui</t>
        </is>
      </c>
      <c r="G5" s="28" t="inlineStr">
        <is>
          <t>normale</t>
        </is>
      </c>
      <c r="H5" s="28" t="inlineStr">
        <is>
          <t>tenue</t>
        </is>
      </c>
      <c r="I5" s="28" t="inlineStr"/>
      <c r="J5" s="29" t="inlineStr"/>
      <c r="K5" s="14">
        <f>IF(B5="","",B5-WEEKDAY(B5,3))</f>
        <v/>
      </c>
      <c r="L5" s="13">
        <f>IF(K5="","",YEAR(K5)&amp;"-W"&amp;TEXT(ISOWEEKNUM(K5),"00"))</f>
        <v/>
      </c>
      <c r="M5" s="13">
        <f>IF(A5="","",A5&amp;"|"&amp;TEXT(K5,"YYYY-MM-DD"))</f>
        <v/>
      </c>
    </row>
    <row r="6" ht="18" customHeight="1">
      <c r="A6" s="28" t="inlineStr">
        <is>
          <t>N001</t>
        </is>
      </c>
      <c r="B6" s="30" t="n">
        <v>46212</v>
      </c>
      <c r="C6" s="28" t="inlineStr">
        <is>
          <t>endurance</t>
        </is>
      </c>
      <c r="D6" s="28" t="n">
        <v>2400</v>
      </c>
      <c r="E6" s="28" t="n">
        <v>6</v>
      </c>
      <c r="F6" s="28" t="inlineStr">
        <is>
          <t>oui</t>
        </is>
      </c>
      <c r="G6" s="28" t="inlineStr">
        <is>
          <t>normale</t>
        </is>
      </c>
      <c r="H6" s="28" t="inlineStr">
        <is>
          <t>tenue</t>
        </is>
      </c>
      <c r="I6" s="28" t="inlineStr"/>
      <c r="J6" s="29" t="inlineStr"/>
      <c r="K6" s="14">
        <f>IF(B6="","",B6-WEEKDAY(B6,3))</f>
        <v/>
      </c>
      <c r="L6" s="13">
        <f>IF(K6="","",YEAR(K6)&amp;"-W"&amp;TEXT(ISOWEEKNUM(K6),"00"))</f>
        <v/>
      </c>
      <c r="M6" s="13">
        <f>IF(A6="","",A6&amp;"|"&amp;TEXT(K6,"YYYY-MM-DD"))</f>
        <v/>
      </c>
    </row>
    <row r="7" ht="18" customHeight="1">
      <c r="A7" s="28" t="inlineStr">
        <is>
          <t>N001</t>
        </is>
      </c>
      <c r="B7" s="30" t="n">
        <v>46214</v>
      </c>
      <c r="C7" s="28" t="inlineStr">
        <is>
          <t>vitesse</t>
        </is>
      </c>
      <c r="D7" s="28" t="n">
        <v>2100</v>
      </c>
      <c r="E7" s="28" t="n">
        <v>7</v>
      </c>
      <c r="F7" s="28" t="inlineStr">
        <is>
          <t>oui</t>
        </is>
      </c>
      <c r="G7" s="28" t="inlineStr">
        <is>
          <t>normale</t>
        </is>
      </c>
      <c r="H7" s="28" t="inlineStr">
        <is>
          <t>tenue</t>
        </is>
      </c>
      <c r="I7" s="28" t="inlineStr"/>
      <c r="J7" s="29" t="inlineStr"/>
      <c r="K7" s="14">
        <f>IF(B7="","",B7-WEEKDAY(B7,3))</f>
        <v/>
      </c>
      <c r="L7" s="13">
        <f>IF(K7="","",YEAR(K7)&amp;"-W"&amp;TEXT(ISOWEEKNUM(K7),"00"))</f>
        <v/>
      </c>
      <c r="M7" s="13">
        <f>IF(A7="","",A7&amp;"|"&amp;TEXT(K7,"YYYY-MM-DD"))</f>
        <v/>
      </c>
    </row>
    <row r="8" ht="18" customHeight="1">
      <c r="A8" s="28" t="inlineStr">
        <is>
          <t>N001</t>
        </is>
      </c>
      <c r="B8" s="30" t="n">
        <v>46217</v>
      </c>
      <c r="C8" s="28" t="inlineStr">
        <is>
          <t>endurance</t>
        </is>
      </c>
      <c r="D8" s="28" t="n">
        <v>2200</v>
      </c>
      <c r="E8" s="28" t="n">
        <v>6</v>
      </c>
      <c r="F8" s="28" t="inlineStr">
        <is>
          <t>oui</t>
        </is>
      </c>
      <c r="G8" s="28" t="inlineStr">
        <is>
          <t>normale</t>
        </is>
      </c>
      <c r="H8" s="28" t="inlineStr">
        <is>
          <t>tenue</t>
        </is>
      </c>
      <c r="I8" s="28" t="inlineStr"/>
      <c r="J8" s="29" t="inlineStr"/>
      <c r="K8" s="14">
        <f>IF(B8="","",B8-WEEKDAY(B8,3))</f>
        <v/>
      </c>
      <c r="L8" s="13">
        <f>IF(K8="","",YEAR(K8)&amp;"-W"&amp;TEXT(ISOWEEKNUM(K8),"00"))</f>
        <v/>
      </c>
      <c r="M8" s="13">
        <f>IF(A8="","",A8&amp;"|"&amp;TEXT(K8,"YYYY-MM-DD"))</f>
        <v/>
      </c>
    </row>
    <row r="9" ht="18" customHeight="1">
      <c r="A9" s="28" t="inlineStr">
        <is>
          <t>N001</t>
        </is>
      </c>
      <c r="B9" s="30" t="n">
        <v>46219</v>
      </c>
      <c r="C9" s="28" t="inlineStr">
        <is>
          <t>seuil</t>
        </is>
      </c>
      <c r="D9" s="28" t="n">
        <v>2500</v>
      </c>
      <c r="E9" s="28" t="n">
        <v>7</v>
      </c>
      <c r="F9" s="28" t="inlineStr">
        <is>
          <t>oui</t>
        </is>
      </c>
      <c r="G9" s="28" t="inlineStr">
        <is>
          <t>normale</t>
        </is>
      </c>
      <c r="H9" s="28" t="inlineStr">
        <is>
          <t>limite</t>
        </is>
      </c>
      <c r="I9" s="28" t="inlineStr"/>
      <c r="J9" s="29" t="inlineStr"/>
      <c r="K9" s="14">
        <f>IF(B9="","",B9-WEEKDAY(B9,3))</f>
        <v/>
      </c>
      <c r="L9" s="13">
        <f>IF(K9="","",YEAR(K9)&amp;"-W"&amp;TEXT(ISOWEEKNUM(K9),"00"))</f>
        <v/>
      </c>
      <c r="M9" s="13">
        <f>IF(A9="","",A9&amp;"|"&amp;TEXT(K9,"YYYY-MM-DD"))</f>
        <v/>
      </c>
    </row>
    <row r="10" ht="18" customHeight="1">
      <c r="A10" s="28" t="inlineStr">
        <is>
          <t>N001</t>
        </is>
      </c>
      <c r="B10" s="30" t="n">
        <v>46221</v>
      </c>
      <c r="C10" s="28" t="inlineStr">
        <is>
          <t>specifique</t>
        </is>
      </c>
      <c r="D10" s="28" t="n">
        <v>2300</v>
      </c>
      <c r="E10" s="28" t="n">
        <v>7</v>
      </c>
      <c r="F10" s="28" t="inlineStr">
        <is>
          <t>oui</t>
        </is>
      </c>
      <c r="G10" s="28" t="inlineStr">
        <is>
          <t>normale</t>
        </is>
      </c>
      <c r="H10" s="28" t="inlineStr">
        <is>
          <t>tenue</t>
        </is>
      </c>
      <c r="I10" s="28" t="inlineStr"/>
      <c r="J10" s="29" t="inlineStr"/>
      <c r="K10" s="14">
        <f>IF(B10="","",B10-WEEKDAY(B10,3))</f>
        <v/>
      </c>
      <c r="L10" s="13">
        <f>IF(K10="","",YEAR(K10)&amp;"-W"&amp;TEXT(ISOWEEKNUM(K10),"00"))</f>
        <v/>
      </c>
      <c r="M10" s="13">
        <f>IF(A10="","",A10&amp;"|"&amp;TEXT(K10,"YYYY-MM-DD"))</f>
        <v/>
      </c>
    </row>
    <row r="11" ht="18" customHeight="1">
      <c r="A11" s="28" t="inlineStr">
        <is>
          <t>N001</t>
        </is>
      </c>
      <c r="B11" s="30" t="n">
        <v>46223</v>
      </c>
      <c r="C11" s="28" t="inlineStr">
        <is>
          <t>recuperation</t>
        </is>
      </c>
      <c r="D11" s="28" t="n">
        <v>1400</v>
      </c>
      <c r="E11" s="28" t="n">
        <v>4</v>
      </c>
      <c r="F11" s="28" t="inlineStr">
        <is>
          <t>oui</t>
        </is>
      </c>
      <c r="G11" s="28" t="inlineStr">
        <is>
          <t>allegee</t>
        </is>
      </c>
      <c r="H11" s="28" t="inlineStr">
        <is>
          <t>tenue</t>
        </is>
      </c>
      <c r="I11" s="28" t="inlineStr"/>
      <c r="J11" s="29" t="inlineStr">
        <is>
          <t>Deload</t>
        </is>
      </c>
      <c r="K11" s="14">
        <f>IF(B11="","",B11-WEEKDAY(B11,3))</f>
        <v/>
      </c>
      <c r="L11" s="13">
        <f>IF(K11="","",YEAR(K11)&amp;"-W"&amp;TEXT(ISOWEEKNUM(K11),"00"))</f>
        <v/>
      </c>
      <c r="M11" s="13">
        <f>IF(A11="","",A11&amp;"|"&amp;TEXT(K11,"YYYY-MM-DD"))</f>
        <v/>
      </c>
    </row>
    <row r="12" ht="18" customHeight="1">
      <c r="A12" s="28" t="inlineStr">
        <is>
          <t>N001</t>
        </is>
      </c>
      <c r="B12" s="30" t="n">
        <v>46224</v>
      </c>
      <c r="C12" s="28" t="inlineStr">
        <is>
          <t>test</t>
        </is>
      </c>
      <c r="D12" s="28" t="n">
        <v>1600</v>
      </c>
      <c r="E12" s="28" t="n">
        <v>8</v>
      </c>
      <c r="F12" s="28" t="inlineStr">
        <is>
          <t>oui</t>
        </is>
      </c>
      <c r="G12" s="28" t="inlineStr">
        <is>
          <t>allegee</t>
        </is>
      </c>
      <c r="H12" s="28" t="inlineStr">
        <is>
          <t>tenue</t>
        </is>
      </c>
      <c r="I12" s="28" t="inlineStr">
        <is>
          <t>T100</t>
        </is>
      </c>
      <c r="J12" s="29" t="inlineStr">
        <is>
          <t>Batterie A</t>
        </is>
      </c>
      <c r="K12" s="14">
        <f>IF(B12="","",B12-WEEKDAY(B12,3))</f>
        <v/>
      </c>
      <c r="L12" s="13">
        <f>IF(K12="","",YEAR(K12)&amp;"-W"&amp;TEXT(ISOWEEKNUM(K12),"00"))</f>
        <v/>
      </c>
      <c r="M12" s="13">
        <f>IF(A12="","",A12&amp;"|"&amp;TEXT(K12,"YYYY-MM-DD"))</f>
        <v/>
      </c>
    </row>
    <row r="13" ht="18" customHeight="1">
      <c r="A13" s="28" t="inlineStr">
        <is>
          <t>N001</t>
        </is>
      </c>
      <c r="B13" s="30" t="n">
        <v>46231</v>
      </c>
      <c r="C13" s="28" t="inlineStr">
        <is>
          <t>technique</t>
        </is>
      </c>
      <c r="D13" s="28" t="n">
        <v>2000</v>
      </c>
      <c r="E13" s="28" t="n">
        <v>5</v>
      </c>
      <c r="F13" s="28" t="inlineStr">
        <is>
          <t>oui</t>
        </is>
      </c>
      <c r="G13" s="28" t="inlineStr">
        <is>
          <t>normale</t>
        </is>
      </c>
      <c r="H13" s="28" t="inlineStr">
        <is>
          <t>tenue</t>
        </is>
      </c>
      <c r="I13" s="28" t="inlineStr"/>
      <c r="J13" s="29" t="inlineStr"/>
      <c r="K13" s="14">
        <f>IF(B13="","",B13-WEEKDAY(B13,3))</f>
        <v/>
      </c>
      <c r="L13" s="13">
        <f>IF(K13="","",YEAR(K13)&amp;"-W"&amp;TEXT(ISOWEEKNUM(K13),"00"))</f>
        <v/>
      </c>
      <c r="M13" s="13">
        <f>IF(A13="","",A13&amp;"|"&amp;TEXT(K13,"YYYY-MM-DD"))</f>
        <v/>
      </c>
    </row>
    <row r="14" ht="18" customHeight="1">
      <c r="A14" s="28" t="inlineStr">
        <is>
          <t>N001</t>
        </is>
      </c>
      <c r="B14" s="30" t="n">
        <v>46233</v>
      </c>
      <c r="C14" s="28" t="inlineStr">
        <is>
          <t>endurance</t>
        </is>
      </c>
      <c r="D14" s="28" t="n">
        <v>2300</v>
      </c>
      <c r="E14" s="28" t="n">
        <v>6</v>
      </c>
      <c r="F14" s="28" t="inlineStr">
        <is>
          <t>oui</t>
        </is>
      </c>
      <c r="G14" s="28" t="inlineStr">
        <is>
          <t>normale</t>
        </is>
      </c>
      <c r="H14" s="28" t="inlineStr">
        <is>
          <t>tenue</t>
        </is>
      </c>
      <c r="I14" s="28" t="inlineStr"/>
      <c r="J14" s="29" t="inlineStr"/>
      <c r="K14" s="14">
        <f>IF(B14="","",B14-WEEKDAY(B14,3))</f>
        <v/>
      </c>
      <c r="L14" s="13">
        <f>IF(K14="","",YEAR(K14)&amp;"-W"&amp;TEXT(ISOWEEKNUM(K14),"00"))</f>
        <v/>
      </c>
      <c r="M14" s="13">
        <f>IF(A14="","",A14&amp;"|"&amp;TEXT(K14,"YYYY-MM-DD"))</f>
        <v/>
      </c>
    </row>
    <row r="15" ht="18" customHeight="1">
      <c r="A15" s="28" t="inlineStr">
        <is>
          <t>N001</t>
        </is>
      </c>
      <c r="B15" s="30" t="n">
        <v>46235</v>
      </c>
      <c r="C15" s="28" t="inlineStr">
        <is>
          <t>seuil</t>
        </is>
      </c>
      <c r="D15" s="28" t="n">
        <v>2100</v>
      </c>
      <c r="E15" s="28" t="n">
        <v>7</v>
      </c>
      <c r="F15" s="28" t="inlineStr">
        <is>
          <t>oui</t>
        </is>
      </c>
      <c r="G15" s="28" t="inlineStr">
        <is>
          <t>normale</t>
        </is>
      </c>
      <c r="H15" s="28" t="inlineStr">
        <is>
          <t>tenue</t>
        </is>
      </c>
      <c r="I15" s="28" t="inlineStr"/>
      <c r="J15" s="29" t="inlineStr"/>
      <c r="K15" s="14">
        <f>IF(B15="","",B15-WEEKDAY(B15,3))</f>
        <v/>
      </c>
      <c r="L15" s="13">
        <f>IF(K15="","",YEAR(K15)&amp;"-W"&amp;TEXT(ISOWEEKNUM(K15),"00"))</f>
        <v/>
      </c>
      <c r="M15" s="13">
        <f>IF(A15="","",A15&amp;"|"&amp;TEXT(K15,"YYYY-MM-DD"))</f>
        <v/>
      </c>
    </row>
    <row r="16" ht="18" customHeight="1">
      <c r="A16" s="28" t="inlineStr">
        <is>
          <t>N001</t>
        </is>
      </c>
      <c r="B16" s="30" t="n">
        <v>46238</v>
      </c>
      <c r="C16" s="28" t="inlineStr">
        <is>
          <t>technique</t>
        </is>
      </c>
      <c r="D16" s="28" t="n">
        <v>2200</v>
      </c>
      <c r="E16" s="28" t="n">
        <v>5</v>
      </c>
      <c r="F16" s="28" t="inlineStr">
        <is>
          <t>oui</t>
        </is>
      </c>
      <c r="G16" s="28" t="inlineStr">
        <is>
          <t>normale</t>
        </is>
      </c>
      <c r="H16" s="28" t="inlineStr">
        <is>
          <t>tenue</t>
        </is>
      </c>
      <c r="I16" s="28" t="inlineStr"/>
      <c r="J16" s="29" t="inlineStr"/>
      <c r="K16" s="14">
        <f>IF(B16="","",B16-WEEKDAY(B16,3))</f>
        <v/>
      </c>
      <c r="L16" s="13">
        <f>IF(K16="","",YEAR(K16)&amp;"-W"&amp;TEXT(ISOWEEKNUM(K16),"00"))</f>
        <v/>
      </c>
      <c r="M16" s="13">
        <f>IF(A16="","",A16&amp;"|"&amp;TEXT(K16,"YYYY-MM-DD"))</f>
        <v/>
      </c>
    </row>
    <row r="17" ht="18" customHeight="1">
      <c r="A17" s="28" t="inlineStr">
        <is>
          <t>N001</t>
        </is>
      </c>
      <c r="B17" s="30" t="n">
        <v>46240</v>
      </c>
      <c r="C17" s="28" t="inlineStr">
        <is>
          <t>endurance</t>
        </is>
      </c>
      <c r="D17" s="28" t="n">
        <v>2500</v>
      </c>
      <c r="E17" s="28" t="n">
        <v>6</v>
      </c>
      <c r="F17" s="28" t="inlineStr">
        <is>
          <t>oui</t>
        </is>
      </c>
      <c r="G17" s="28" t="inlineStr">
        <is>
          <t>normale</t>
        </is>
      </c>
      <c r="H17" s="28" t="inlineStr">
        <is>
          <t>tenue</t>
        </is>
      </c>
      <c r="I17" s="28" t="inlineStr"/>
      <c r="J17" s="29" t="inlineStr"/>
      <c r="K17" s="14">
        <f>IF(B17="","",B17-WEEKDAY(B17,3))</f>
        <v/>
      </c>
      <c r="L17" s="13">
        <f>IF(K17="","",YEAR(K17)&amp;"-W"&amp;TEXT(ISOWEEKNUM(K17),"00"))</f>
        <v/>
      </c>
      <c r="M17" s="13">
        <f>IF(A17="","",A17&amp;"|"&amp;TEXT(K17,"YYYY-MM-DD"))</f>
        <v/>
      </c>
    </row>
    <row r="18" ht="18" customHeight="1">
      <c r="A18" s="28" t="inlineStr">
        <is>
          <t>N001</t>
        </is>
      </c>
      <c r="B18" s="30" t="n">
        <v>46242</v>
      </c>
      <c r="C18" s="28" t="inlineStr">
        <is>
          <t>specifique</t>
        </is>
      </c>
      <c r="D18" s="28" t="n">
        <v>2200</v>
      </c>
      <c r="E18" s="28" t="n">
        <v>7</v>
      </c>
      <c r="F18" s="28" t="inlineStr">
        <is>
          <t>oui</t>
        </is>
      </c>
      <c r="G18" s="28" t="inlineStr">
        <is>
          <t>normale</t>
        </is>
      </c>
      <c r="H18" s="28" t="inlineStr">
        <is>
          <t>tenue</t>
        </is>
      </c>
      <c r="I18" s="28" t="inlineStr"/>
      <c r="J18" s="29" t="inlineStr"/>
      <c r="K18" s="14">
        <f>IF(B18="","",B18-WEEKDAY(B18,3))</f>
        <v/>
      </c>
      <c r="L18" s="13">
        <f>IF(K18="","",YEAR(K18)&amp;"-W"&amp;TEXT(ISOWEEKNUM(K18),"00"))</f>
        <v/>
      </c>
      <c r="M18" s="13">
        <f>IF(A18="","",A18&amp;"|"&amp;TEXT(K18,"YYYY-MM-DD"))</f>
        <v/>
      </c>
    </row>
    <row r="19" ht="18" customHeight="1">
      <c r="A19" s="28" t="inlineStr">
        <is>
          <t>N001</t>
        </is>
      </c>
      <c r="B19" s="30" t="n">
        <v>46245</v>
      </c>
      <c r="C19" s="28" t="inlineStr">
        <is>
          <t>endurance</t>
        </is>
      </c>
      <c r="D19" s="28" t="n">
        <v>2400</v>
      </c>
      <c r="E19" s="28" t="n">
        <v>6</v>
      </c>
      <c r="F19" s="28" t="inlineStr">
        <is>
          <t>oui</t>
        </is>
      </c>
      <c r="G19" s="28" t="inlineStr">
        <is>
          <t>normale</t>
        </is>
      </c>
      <c r="H19" s="28" t="inlineStr">
        <is>
          <t>tenue</t>
        </is>
      </c>
      <c r="I19" s="28" t="inlineStr"/>
      <c r="J19" s="29" t="inlineStr"/>
      <c r="K19" s="14">
        <f>IF(B19="","",B19-WEEKDAY(B19,3))</f>
        <v/>
      </c>
      <c r="L19" s="13">
        <f>IF(K19="","",YEAR(K19)&amp;"-W"&amp;TEXT(ISOWEEKNUM(K19),"00"))</f>
        <v/>
      </c>
      <c r="M19" s="13">
        <f>IF(A19="","",A19&amp;"|"&amp;TEXT(K19,"YYYY-MM-DD"))</f>
        <v/>
      </c>
    </row>
    <row r="20" ht="18" customHeight="1">
      <c r="A20" s="28" t="inlineStr">
        <is>
          <t>N001</t>
        </is>
      </c>
      <c r="B20" s="30" t="n">
        <v>46247</v>
      </c>
      <c r="C20" s="28" t="inlineStr">
        <is>
          <t>seuil</t>
        </is>
      </c>
      <c r="D20" s="28" t="n">
        <v>2600</v>
      </c>
      <c r="E20" s="28" t="n">
        <v>7</v>
      </c>
      <c r="F20" s="28" t="inlineStr">
        <is>
          <t>oui</t>
        </is>
      </c>
      <c r="G20" s="28" t="inlineStr">
        <is>
          <t>normale</t>
        </is>
      </c>
      <c r="H20" s="28" t="inlineStr">
        <is>
          <t>limite</t>
        </is>
      </c>
      <c r="I20" s="28" t="inlineStr"/>
      <c r="J20" s="29" t="inlineStr"/>
      <c r="K20" s="14">
        <f>IF(B20="","",B20-WEEKDAY(B20,3))</f>
        <v/>
      </c>
      <c r="L20" s="13">
        <f>IF(K20="","",YEAR(K20)&amp;"-W"&amp;TEXT(ISOWEEKNUM(K20),"00"))</f>
        <v/>
      </c>
      <c r="M20" s="13">
        <f>IF(A20="","",A20&amp;"|"&amp;TEXT(K20,"YYYY-MM-DD"))</f>
        <v/>
      </c>
    </row>
    <row r="21" ht="18" customHeight="1">
      <c r="A21" s="28" t="inlineStr">
        <is>
          <t>N001</t>
        </is>
      </c>
      <c r="B21" s="30" t="n">
        <v>46249</v>
      </c>
      <c r="C21" s="28" t="inlineStr">
        <is>
          <t>vitesse</t>
        </is>
      </c>
      <c r="D21" s="28" t="n">
        <v>2400</v>
      </c>
      <c r="E21" s="28" t="n">
        <v>8</v>
      </c>
      <c r="F21" s="28" t="inlineStr">
        <is>
          <t>oui</t>
        </is>
      </c>
      <c r="G21" s="28" t="inlineStr">
        <is>
          <t>normale</t>
        </is>
      </c>
      <c r="H21" s="28" t="inlineStr">
        <is>
          <t>limite</t>
        </is>
      </c>
      <c r="I21" s="28" t="inlineStr"/>
      <c r="J21" s="29" t="inlineStr">
        <is>
          <t>3e sem de charge</t>
        </is>
      </c>
      <c r="K21" s="14">
        <f>IF(B21="","",B21-WEEKDAY(B21,3))</f>
        <v/>
      </c>
      <c r="L21" s="13">
        <f>IF(K21="","",YEAR(K21)&amp;"-W"&amp;TEXT(ISOWEEKNUM(K21),"00"))</f>
        <v/>
      </c>
      <c r="M21" s="13">
        <f>IF(A21="","",A21&amp;"|"&amp;TEXT(K21,"YYYY-MM-DD"))</f>
        <v/>
      </c>
    </row>
    <row r="22" ht="18" customHeight="1">
      <c r="A22" s="28" t="inlineStr">
        <is>
          <t>N001</t>
        </is>
      </c>
      <c r="B22" s="30" t="n">
        <v>46252</v>
      </c>
      <c r="C22" s="28" t="inlineStr">
        <is>
          <t>technique</t>
        </is>
      </c>
      <c r="D22" s="28" t="n">
        <v>2300</v>
      </c>
      <c r="E22" s="28" t="n">
        <v>6</v>
      </c>
      <c r="F22" s="28" t="inlineStr">
        <is>
          <t>oui</t>
        </is>
      </c>
      <c r="G22" s="28" t="inlineStr">
        <is>
          <t>normale</t>
        </is>
      </c>
      <c r="H22" s="28" t="inlineStr">
        <is>
          <t>tenue</t>
        </is>
      </c>
      <c r="I22" s="28" t="inlineStr"/>
      <c r="J22" s="29" t="inlineStr"/>
      <c r="K22" s="14">
        <f>IF(B22="","",B22-WEEKDAY(B22,3))</f>
        <v/>
      </c>
      <c r="L22" s="13">
        <f>IF(K22="","",YEAR(K22)&amp;"-W"&amp;TEXT(ISOWEEKNUM(K22),"00"))</f>
        <v/>
      </c>
      <c r="M22" s="13">
        <f>IF(A22="","",A22&amp;"|"&amp;TEXT(K22,"YYYY-MM-DD"))</f>
        <v/>
      </c>
    </row>
    <row r="23" ht="18" customHeight="1">
      <c r="A23" s="28" t="inlineStr">
        <is>
          <t>N001</t>
        </is>
      </c>
      <c r="B23" s="30" t="n">
        <v>46254</v>
      </c>
      <c r="C23" s="28" t="inlineStr">
        <is>
          <t>seuil</t>
        </is>
      </c>
      <c r="D23" s="28" t="n">
        <v>2500</v>
      </c>
      <c r="E23" s="28" t="n">
        <v>7</v>
      </c>
      <c r="F23" s="28" t="inlineStr">
        <is>
          <t>oui</t>
        </is>
      </c>
      <c r="G23" s="28" t="inlineStr">
        <is>
          <t>normale</t>
        </is>
      </c>
      <c r="H23" s="28" t="inlineStr">
        <is>
          <t>tenue</t>
        </is>
      </c>
      <c r="I23" s="28" t="inlineStr"/>
      <c r="J23" s="29" t="inlineStr">
        <is>
          <t>10x100 tenus 1:25</t>
        </is>
      </c>
      <c r="K23" s="14">
        <f>IF(B23="","",B23-WEEKDAY(B23,3))</f>
        <v/>
      </c>
      <c r="L23" s="13">
        <f>IF(K23="","",YEAR(K23)&amp;"-W"&amp;TEXT(ISOWEEKNUM(K23),"00"))</f>
        <v/>
      </c>
      <c r="M23" s="13">
        <f>IF(A23="","",A23&amp;"|"&amp;TEXT(K23,"YYYY-MM-DD"))</f>
        <v/>
      </c>
    </row>
    <row r="24" ht="18" customHeight="1">
      <c r="A24" s="28" t="inlineStr">
        <is>
          <t>N001</t>
        </is>
      </c>
      <c r="B24" s="30" t="n">
        <v>46256</v>
      </c>
      <c r="C24" s="28" t="inlineStr">
        <is>
          <t>specifique</t>
        </is>
      </c>
      <c r="D24" s="28" t="n">
        <v>2400</v>
      </c>
      <c r="E24" s="28" t="n">
        <v>7</v>
      </c>
      <c r="F24" s="28" t="inlineStr">
        <is>
          <t>oui</t>
        </is>
      </c>
      <c r="G24" s="28" t="inlineStr">
        <is>
          <t>normale</t>
        </is>
      </c>
      <c r="H24" s="28" t="inlineStr">
        <is>
          <t>tenue</t>
        </is>
      </c>
      <c r="I24" s="28" t="inlineStr"/>
      <c r="J24" s="29" t="inlineStr"/>
      <c r="K24" s="14">
        <f>IF(B24="","",B24-WEEKDAY(B24,3))</f>
        <v/>
      </c>
      <c r="L24" s="13">
        <f>IF(K24="","",YEAR(K24)&amp;"-W"&amp;TEXT(ISOWEEKNUM(K24),"00"))</f>
        <v/>
      </c>
      <c r="M24" s="13">
        <f>IF(A24="","",A24&amp;"|"&amp;TEXT(K24,"YYYY-MM-DD"))</f>
        <v/>
      </c>
    </row>
    <row r="25" ht="18" customHeight="1">
      <c r="A25" s="28" t="inlineStr">
        <is>
          <t>N002</t>
        </is>
      </c>
      <c r="B25" s="30" t="n">
        <v>46202</v>
      </c>
      <c r="C25" s="28" t="inlineStr">
        <is>
          <t>endurance</t>
        </is>
      </c>
      <c r="D25" s="28" t="n">
        <v>3200</v>
      </c>
      <c r="E25" s="28" t="n">
        <v>6</v>
      </c>
      <c r="F25" s="28" t="inlineStr">
        <is>
          <t>oui</t>
        </is>
      </c>
      <c r="G25" s="28" t="inlineStr">
        <is>
          <t>normale</t>
        </is>
      </c>
      <c r="H25" s="28" t="inlineStr">
        <is>
          <t>tenue</t>
        </is>
      </c>
      <c r="I25" s="28" t="inlineStr"/>
      <c r="J25" s="29" t="inlineStr"/>
      <c r="K25" s="14">
        <f>IF(B25="","",B25-WEEKDAY(B25,3))</f>
        <v/>
      </c>
      <c r="L25" s="13">
        <f>IF(K25="","",YEAR(K25)&amp;"-W"&amp;TEXT(ISOWEEKNUM(K25),"00"))</f>
        <v/>
      </c>
      <c r="M25" s="13">
        <f>IF(A25="","",A25&amp;"|"&amp;TEXT(K25,"YYYY-MM-DD"))</f>
        <v/>
      </c>
    </row>
    <row r="26" ht="18" customHeight="1">
      <c r="A26" s="28" t="inlineStr">
        <is>
          <t>N002</t>
        </is>
      </c>
      <c r="B26" s="30" t="n">
        <v>46203</v>
      </c>
      <c r="C26" s="28" t="inlineStr">
        <is>
          <t>technique</t>
        </is>
      </c>
      <c r="D26" s="28" t="n">
        <v>2800</v>
      </c>
      <c r="E26" s="28" t="n">
        <v>5</v>
      </c>
      <c r="F26" s="28" t="inlineStr">
        <is>
          <t>oui</t>
        </is>
      </c>
      <c r="G26" s="28" t="inlineStr">
        <is>
          <t>normale</t>
        </is>
      </c>
      <c r="H26" s="28" t="inlineStr">
        <is>
          <t>tenue</t>
        </is>
      </c>
      <c r="I26" s="28" t="inlineStr"/>
      <c r="J26" s="29" t="inlineStr"/>
      <c r="K26" s="14">
        <f>IF(B26="","",B26-WEEKDAY(B26,3))</f>
        <v/>
      </c>
      <c r="L26" s="13">
        <f>IF(K26="","",YEAR(K26)&amp;"-W"&amp;TEXT(ISOWEEKNUM(K26),"00"))</f>
        <v/>
      </c>
      <c r="M26" s="13">
        <f>IF(A26="","",A26&amp;"|"&amp;TEXT(K26,"YYYY-MM-DD"))</f>
        <v/>
      </c>
    </row>
    <row r="27" ht="18" customHeight="1">
      <c r="A27" s="28" t="inlineStr">
        <is>
          <t>N002</t>
        </is>
      </c>
      <c r="B27" s="30" t="n">
        <v>46204</v>
      </c>
      <c r="C27" s="28" t="inlineStr">
        <is>
          <t>seuil</t>
        </is>
      </c>
      <c r="D27" s="28" t="n">
        <v>3400</v>
      </c>
      <c r="E27" s="28" t="n">
        <v>7</v>
      </c>
      <c r="F27" s="28" t="inlineStr">
        <is>
          <t>oui</t>
        </is>
      </c>
      <c r="G27" s="28" t="inlineStr">
        <is>
          <t>normale</t>
        </is>
      </c>
      <c r="H27" s="28" t="inlineStr">
        <is>
          <t>tenue</t>
        </is>
      </c>
      <c r="I27" s="28" t="inlineStr"/>
      <c r="J27" s="29" t="inlineStr"/>
      <c r="K27" s="14">
        <f>IF(B27="","",B27-WEEKDAY(B27,3))</f>
        <v/>
      </c>
      <c r="L27" s="13">
        <f>IF(K27="","",YEAR(K27)&amp;"-W"&amp;TEXT(ISOWEEKNUM(K27),"00"))</f>
        <v/>
      </c>
      <c r="M27" s="13">
        <f>IF(A27="","",A27&amp;"|"&amp;TEXT(K27,"YYYY-MM-DD"))</f>
        <v/>
      </c>
    </row>
    <row r="28" ht="18" customHeight="1">
      <c r="A28" s="28" t="inlineStr">
        <is>
          <t>N002</t>
        </is>
      </c>
      <c r="B28" s="30" t="n">
        <v>46205</v>
      </c>
      <c r="C28" s="28" t="inlineStr">
        <is>
          <t>vitesse</t>
        </is>
      </c>
      <c r="D28" s="28" t="n">
        <v>3000</v>
      </c>
      <c r="E28" s="28" t="n">
        <v>8</v>
      </c>
      <c r="F28" s="28" t="inlineStr">
        <is>
          <t>oui</t>
        </is>
      </c>
      <c r="G28" s="28" t="inlineStr">
        <is>
          <t>normale</t>
        </is>
      </c>
      <c r="H28" s="28" t="inlineStr">
        <is>
          <t>tenue</t>
        </is>
      </c>
      <c r="I28" s="28" t="inlineStr"/>
      <c r="J28" s="29" t="inlineStr"/>
      <c r="K28" s="14">
        <f>IF(B28="","",B28-WEEKDAY(B28,3))</f>
        <v/>
      </c>
      <c r="L28" s="13">
        <f>IF(K28="","",YEAR(K28)&amp;"-W"&amp;TEXT(ISOWEEKNUM(K28),"00"))</f>
        <v/>
      </c>
      <c r="M28" s="13">
        <f>IF(A28="","",A28&amp;"|"&amp;TEXT(K28,"YYYY-MM-DD"))</f>
        <v/>
      </c>
    </row>
    <row r="29" ht="18" customHeight="1">
      <c r="A29" s="28" t="inlineStr">
        <is>
          <t>N002</t>
        </is>
      </c>
      <c r="B29" s="30" t="n">
        <v>46206</v>
      </c>
      <c r="C29" s="28" t="inlineStr">
        <is>
          <t>specifique</t>
        </is>
      </c>
      <c r="D29" s="28" t="n">
        <v>3600</v>
      </c>
      <c r="E29" s="28" t="n">
        <v>7</v>
      </c>
      <c r="F29" s="28" t="inlineStr">
        <is>
          <t>oui</t>
        </is>
      </c>
      <c r="G29" s="28" t="inlineStr">
        <is>
          <t>normale</t>
        </is>
      </c>
      <c r="H29" s="28" t="inlineStr">
        <is>
          <t>tenue</t>
        </is>
      </c>
      <c r="I29" s="28" t="inlineStr"/>
      <c r="J29" s="29" t="inlineStr"/>
      <c r="K29" s="14">
        <f>IF(B29="","",B29-WEEKDAY(B29,3))</f>
        <v/>
      </c>
      <c r="L29" s="13">
        <f>IF(K29="","",YEAR(K29)&amp;"-W"&amp;TEXT(ISOWEEKNUM(K29),"00"))</f>
        <v/>
      </c>
      <c r="M29" s="13">
        <f>IF(A29="","",A29&amp;"|"&amp;TEXT(K29,"YYYY-MM-DD"))</f>
        <v/>
      </c>
    </row>
    <row r="30" ht="18" customHeight="1">
      <c r="A30" s="28" t="inlineStr">
        <is>
          <t>N002</t>
        </is>
      </c>
      <c r="B30" s="30" t="n">
        <v>46209</v>
      </c>
      <c r="C30" s="28" t="inlineStr">
        <is>
          <t>endurance</t>
        </is>
      </c>
      <c r="D30" s="28" t="n">
        <v>3400</v>
      </c>
      <c r="E30" s="28" t="n">
        <v>6</v>
      </c>
      <c r="F30" s="28" t="inlineStr">
        <is>
          <t>oui</t>
        </is>
      </c>
      <c r="G30" s="28" t="inlineStr">
        <is>
          <t>normale</t>
        </is>
      </c>
      <c r="H30" s="28" t="inlineStr">
        <is>
          <t>tenue</t>
        </is>
      </c>
      <c r="I30" s="28" t="inlineStr"/>
      <c r="J30" s="29" t="inlineStr"/>
      <c r="K30" s="14">
        <f>IF(B30="","",B30-WEEKDAY(B30,3))</f>
        <v/>
      </c>
      <c r="L30" s="13">
        <f>IF(K30="","",YEAR(K30)&amp;"-W"&amp;TEXT(ISOWEEKNUM(K30),"00"))</f>
        <v/>
      </c>
      <c r="M30" s="13">
        <f>IF(A30="","",A30&amp;"|"&amp;TEXT(K30,"YYYY-MM-DD"))</f>
        <v/>
      </c>
    </row>
    <row r="31" ht="18" customHeight="1">
      <c r="A31" s="28" t="inlineStr">
        <is>
          <t>N002</t>
        </is>
      </c>
      <c r="B31" s="30" t="n">
        <v>46210</v>
      </c>
      <c r="C31" s="28" t="inlineStr">
        <is>
          <t>technique</t>
        </is>
      </c>
      <c r="D31" s="28" t="n">
        <v>3000</v>
      </c>
      <c r="E31" s="28" t="n">
        <v>5</v>
      </c>
      <c r="F31" s="28" t="inlineStr">
        <is>
          <t>oui</t>
        </is>
      </c>
      <c r="G31" s="28" t="inlineStr">
        <is>
          <t>normale</t>
        </is>
      </c>
      <c r="H31" s="28" t="inlineStr">
        <is>
          <t>tenue</t>
        </is>
      </c>
      <c r="I31" s="28" t="inlineStr"/>
      <c r="J31" s="29" t="inlineStr"/>
      <c r="K31" s="14">
        <f>IF(B31="","",B31-WEEKDAY(B31,3))</f>
        <v/>
      </c>
      <c r="L31" s="13">
        <f>IF(K31="","",YEAR(K31)&amp;"-W"&amp;TEXT(ISOWEEKNUM(K31),"00"))</f>
        <v/>
      </c>
      <c r="M31" s="13">
        <f>IF(A31="","",A31&amp;"|"&amp;TEXT(K31,"YYYY-MM-DD"))</f>
        <v/>
      </c>
    </row>
    <row r="32" ht="18" customHeight="1">
      <c r="A32" s="28" t="inlineStr">
        <is>
          <t>N002</t>
        </is>
      </c>
      <c r="B32" s="30" t="n">
        <v>46211</v>
      </c>
      <c r="C32" s="28" t="inlineStr">
        <is>
          <t>seuil</t>
        </is>
      </c>
      <c r="D32" s="28" t="n">
        <v>3600</v>
      </c>
      <c r="E32" s="28" t="n">
        <v>7</v>
      </c>
      <c r="F32" s="28" t="inlineStr">
        <is>
          <t>oui</t>
        </is>
      </c>
      <c r="G32" s="28" t="inlineStr">
        <is>
          <t>normale</t>
        </is>
      </c>
      <c r="H32" s="28" t="inlineStr">
        <is>
          <t>tenue</t>
        </is>
      </c>
      <c r="I32" s="28" t="inlineStr"/>
      <c r="J32" s="29" t="inlineStr"/>
      <c r="K32" s="14">
        <f>IF(B32="","",B32-WEEKDAY(B32,3))</f>
        <v/>
      </c>
      <c r="L32" s="13">
        <f>IF(K32="","",YEAR(K32)&amp;"-W"&amp;TEXT(ISOWEEKNUM(K32),"00"))</f>
        <v/>
      </c>
      <c r="M32" s="13">
        <f>IF(A32="","",A32&amp;"|"&amp;TEXT(K32,"YYYY-MM-DD"))</f>
        <v/>
      </c>
    </row>
    <row r="33" ht="18" customHeight="1">
      <c r="A33" s="28" t="inlineStr">
        <is>
          <t>N002</t>
        </is>
      </c>
      <c r="B33" s="30" t="n">
        <v>46212</v>
      </c>
      <c r="C33" s="28" t="inlineStr">
        <is>
          <t>vitesse</t>
        </is>
      </c>
      <c r="D33" s="28" t="n">
        <v>3200</v>
      </c>
      <c r="E33" s="28" t="n">
        <v>8</v>
      </c>
      <c r="F33" s="28" t="inlineStr">
        <is>
          <t>oui</t>
        </is>
      </c>
      <c r="G33" s="28" t="inlineStr">
        <is>
          <t>normale</t>
        </is>
      </c>
      <c r="H33" s="28" t="inlineStr">
        <is>
          <t>limite</t>
        </is>
      </c>
      <c r="I33" s="28" t="inlineStr"/>
      <c r="J33" s="29" t="inlineStr"/>
      <c r="K33" s="14">
        <f>IF(B33="","",B33-WEEKDAY(B33,3))</f>
        <v/>
      </c>
      <c r="L33" s="13">
        <f>IF(K33="","",YEAR(K33)&amp;"-W"&amp;TEXT(ISOWEEKNUM(K33),"00"))</f>
        <v/>
      </c>
      <c r="M33" s="13">
        <f>IF(A33="","",A33&amp;"|"&amp;TEXT(K33,"YYYY-MM-DD"))</f>
        <v/>
      </c>
    </row>
    <row r="34" ht="18" customHeight="1">
      <c r="A34" s="28" t="inlineStr">
        <is>
          <t>N002</t>
        </is>
      </c>
      <c r="B34" s="30" t="n">
        <v>46213</v>
      </c>
      <c r="C34" s="28" t="inlineStr">
        <is>
          <t>specifique</t>
        </is>
      </c>
      <c r="D34" s="28" t="n">
        <v>4000</v>
      </c>
      <c r="E34" s="28" t="n">
        <v>8</v>
      </c>
      <c r="F34" s="28" t="inlineStr">
        <is>
          <t>oui</t>
        </is>
      </c>
      <c r="G34" s="28" t="inlineStr">
        <is>
          <t>normale</t>
        </is>
      </c>
      <c r="H34" s="28" t="inlineStr">
        <is>
          <t>limite</t>
        </is>
      </c>
      <c r="I34" s="28" t="inlineStr"/>
      <c r="J34" s="29" t="inlineStr"/>
      <c r="K34" s="14">
        <f>IF(B34="","",B34-WEEKDAY(B34,3))</f>
        <v/>
      </c>
      <c r="L34" s="13">
        <f>IF(K34="","",YEAR(K34)&amp;"-W"&amp;TEXT(ISOWEEKNUM(K34),"00"))</f>
        <v/>
      </c>
      <c r="M34" s="13">
        <f>IF(A34="","",A34&amp;"|"&amp;TEXT(K34,"YYYY-MM-DD"))</f>
        <v/>
      </c>
    </row>
    <row r="35" ht="18" customHeight="1">
      <c r="A35" s="28" t="inlineStr">
        <is>
          <t>N002</t>
        </is>
      </c>
      <c r="B35" s="30" t="n">
        <v>46216</v>
      </c>
      <c r="C35" s="28" t="inlineStr">
        <is>
          <t>recuperation</t>
        </is>
      </c>
      <c r="D35" s="28" t="n">
        <v>2200</v>
      </c>
      <c r="E35" s="28" t="n">
        <v>4</v>
      </c>
      <c r="F35" s="28" t="inlineStr">
        <is>
          <t>oui</t>
        </is>
      </c>
      <c r="G35" s="28" t="inlineStr">
        <is>
          <t>allegee</t>
        </is>
      </c>
      <c r="H35" s="28" t="inlineStr">
        <is>
          <t>tenue</t>
        </is>
      </c>
      <c r="I35" s="28" t="inlineStr"/>
      <c r="J35" s="29" t="inlineStr">
        <is>
          <t>Deload</t>
        </is>
      </c>
      <c r="K35" s="14">
        <f>IF(B35="","",B35-WEEKDAY(B35,3))</f>
        <v/>
      </c>
      <c r="L35" s="13">
        <f>IF(K35="","",YEAR(K35)&amp;"-W"&amp;TEXT(ISOWEEKNUM(K35),"00"))</f>
        <v/>
      </c>
      <c r="M35" s="13">
        <f>IF(A35="","",A35&amp;"|"&amp;TEXT(K35,"YYYY-MM-DD"))</f>
        <v/>
      </c>
    </row>
    <row r="36" ht="18" customHeight="1">
      <c r="A36" s="28" t="inlineStr">
        <is>
          <t>N002</t>
        </is>
      </c>
      <c r="B36" s="30" t="n">
        <v>46217</v>
      </c>
      <c r="C36" s="28" t="inlineStr">
        <is>
          <t>technique</t>
        </is>
      </c>
      <c r="D36" s="28" t="n">
        <v>2000</v>
      </c>
      <c r="E36" s="28" t="n">
        <v>4</v>
      </c>
      <c r="F36" s="28" t="inlineStr">
        <is>
          <t>oui</t>
        </is>
      </c>
      <c r="G36" s="28" t="inlineStr">
        <is>
          <t>allegee</t>
        </is>
      </c>
      <c r="H36" s="28" t="inlineStr">
        <is>
          <t>tenue</t>
        </is>
      </c>
      <c r="I36" s="28" t="inlineStr"/>
      <c r="J36" s="29" t="inlineStr"/>
      <c r="K36" s="14">
        <f>IF(B36="","",B36-WEEKDAY(B36,3))</f>
        <v/>
      </c>
      <c r="L36" s="13">
        <f>IF(K36="","",YEAR(K36)&amp;"-W"&amp;TEXT(ISOWEEKNUM(K36),"00"))</f>
        <v/>
      </c>
      <c r="M36" s="13">
        <f>IF(A36="","",A36&amp;"|"&amp;TEXT(K36,"YYYY-MM-DD"))</f>
        <v/>
      </c>
    </row>
    <row r="37" ht="18" customHeight="1">
      <c r="A37" s="28" t="inlineStr">
        <is>
          <t>N002</t>
        </is>
      </c>
      <c r="B37" s="30" t="n">
        <v>46218</v>
      </c>
      <c r="C37" s="28" t="inlineStr">
        <is>
          <t>endurance</t>
        </is>
      </c>
      <c r="D37" s="28" t="n">
        <v>2400</v>
      </c>
      <c r="E37" s="28" t="n">
        <v>5</v>
      </c>
      <c r="F37" s="28" t="inlineStr">
        <is>
          <t>oui</t>
        </is>
      </c>
      <c r="G37" s="28" t="inlineStr">
        <is>
          <t>allegee</t>
        </is>
      </c>
      <c r="H37" s="28" t="inlineStr">
        <is>
          <t>tenue</t>
        </is>
      </c>
      <c r="I37" s="28" t="inlineStr"/>
      <c r="J37" s="29" t="inlineStr"/>
      <c r="K37" s="14">
        <f>IF(B37="","",B37-WEEKDAY(B37,3))</f>
        <v/>
      </c>
      <c r="L37" s="13">
        <f>IF(K37="","",YEAR(K37)&amp;"-W"&amp;TEXT(ISOWEEKNUM(K37),"00"))</f>
        <v/>
      </c>
      <c r="M37" s="13">
        <f>IF(A37="","",A37&amp;"|"&amp;TEXT(K37,"YYYY-MM-DD"))</f>
        <v/>
      </c>
    </row>
    <row r="38" ht="18" customHeight="1">
      <c r="A38" s="28" t="inlineStr">
        <is>
          <t>N002</t>
        </is>
      </c>
      <c r="B38" s="30" t="n">
        <v>46220</v>
      </c>
      <c r="C38" s="28" t="inlineStr">
        <is>
          <t>recuperation</t>
        </is>
      </c>
      <c r="D38" s="28" t="n">
        <v>2200</v>
      </c>
      <c r="E38" s="28" t="n">
        <v>4</v>
      </c>
      <c r="F38" s="28" t="inlineStr">
        <is>
          <t>oui</t>
        </is>
      </c>
      <c r="G38" s="28" t="inlineStr">
        <is>
          <t>allegee</t>
        </is>
      </c>
      <c r="H38" s="28" t="inlineStr">
        <is>
          <t>tenue</t>
        </is>
      </c>
      <c r="I38" s="28" t="inlineStr"/>
      <c r="J38" s="29" t="inlineStr"/>
      <c r="K38" s="14">
        <f>IF(B38="","",B38-WEEKDAY(B38,3))</f>
        <v/>
      </c>
      <c r="L38" s="13">
        <f>IF(K38="","",YEAR(K38)&amp;"-W"&amp;TEXT(ISOWEEKNUM(K38),"00"))</f>
        <v/>
      </c>
      <c r="M38" s="13">
        <f>IF(A38="","",A38&amp;"|"&amp;TEXT(K38,"YYYY-MM-DD"))</f>
        <v/>
      </c>
    </row>
    <row r="39" ht="18" customHeight="1">
      <c r="A39" s="28" t="inlineStr">
        <is>
          <t>N002</t>
        </is>
      </c>
      <c r="B39" s="30" t="n">
        <v>46223</v>
      </c>
      <c r="C39" s="28" t="inlineStr">
        <is>
          <t>endurance</t>
        </is>
      </c>
      <c r="D39" s="28" t="n">
        <v>3300</v>
      </c>
      <c r="E39" s="28" t="n">
        <v>6</v>
      </c>
      <c r="F39" s="28" t="inlineStr">
        <is>
          <t>oui</t>
        </is>
      </c>
      <c r="G39" s="28" t="inlineStr">
        <is>
          <t>normale</t>
        </is>
      </c>
      <c r="H39" s="28" t="inlineStr">
        <is>
          <t>tenue</t>
        </is>
      </c>
      <c r="I39" s="28" t="inlineStr"/>
      <c r="J39" s="29" t="inlineStr"/>
      <c r="K39" s="14">
        <f>IF(B39="","",B39-WEEKDAY(B39,3))</f>
        <v/>
      </c>
      <c r="L39" s="13">
        <f>IF(K39="","",YEAR(K39)&amp;"-W"&amp;TEXT(ISOWEEKNUM(K39),"00"))</f>
        <v/>
      </c>
      <c r="M39" s="13">
        <f>IF(A39="","",A39&amp;"|"&amp;TEXT(K39,"YYYY-MM-DD"))</f>
        <v/>
      </c>
    </row>
    <row r="40" ht="18" customHeight="1">
      <c r="A40" s="28" t="inlineStr">
        <is>
          <t>N002</t>
        </is>
      </c>
      <c r="B40" s="30" t="n">
        <v>46224</v>
      </c>
      <c r="C40" s="28" t="inlineStr">
        <is>
          <t>technique</t>
        </is>
      </c>
      <c r="D40" s="28" t="n">
        <v>2900</v>
      </c>
      <c r="E40" s="28" t="n">
        <v>5</v>
      </c>
      <c r="F40" s="28" t="inlineStr">
        <is>
          <t>oui</t>
        </is>
      </c>
      <c r="G40" s="28" t="inlineStr">
        <is>
          <t>normale</t>
        </is>
      </c>
      <c r="H40" s="28" t="inlineStr">
        <is>
          <t>tenue</t>
        </is>
      </c>
      <c r="I40" s="28" t="inlineStr"/>
      <c r="J40" s="29" t="inlineStr"/>
      <c r="K40" s="14">
        <f>IF(B40="","",B40-WEEKDAY(B40,3))</f>
        <v/>
      </c>
      <c r="L40" s="13">
        <f>IF(K40="","",YEAR(K40)&amp;"-W"&amp;TEXT(ISOWEEKNUM(K40),"00"))</f>
        <v/>
      </c>
      <c r="M40" s="13">
        <f>IF(A40="","",A40&amp;"|"&amp;TEXT(K40,"YYYY-MM-DD"))</f>
        <v/>
      </c>
    </row>
    <row r="41" ht="18" customHeight="1">
      <c r="A41" s="28" t="inlineStr">
        <is>
          <t>N002</t>
        </is>
      </c>
      <c r="B41" s="30" t="n">
        <v>46225</v>
      </c>
      <c r="C41" s="28" t="inlineStr">
        <is>
          <t>seuil</t>
        </is>
      </c>
      <c r="D41" s="28" t="n">
        <v>3500</v>
      </c>
      <c r="E41" s="28" t="n">
        <v>7</v>
      </c>
      <c r="F41" s="28" t="inlineStr">
        <is>
          <t>oui</t>
        </is>
      </c>
      <c r="G41" s="28" t="inlineStr">
        <is>
          <t>normale</t>
        </is>
      </c>
      <c r="H41" s="28" t="inlineStr">
        <is>
          <t>tenue</t>
        </is>
      </c>
      <c r="I41" s="28" t="inlineStr"/>
      <c r="J41" s="29" t="inlineStr"/>
      <c r="K41" s="14">
        <f>IF(B41="","",B41-WEEKDAY(B41,3))</f>
        <v/>
      </c>
      <c r="L41" s="13">
        <f>IF(K41="","",YEAR(K41)&amp;"-W"&amp;TEXT(ISOWEEKNUM(K41),"00"))</f>
        <v/>
      </c>
      <c r="M41" s="13">
        <f>IF(A41="","",A41&amp;"|"&amp;TEXT(K41,"YYYY-MM-DD"))</f>
        <v/>
      </c>
    </row>
    <row r="42" ht="18" customHeight="1">
      <c r="A42" s="28" t="inlineStr">
        <is>
          <t>N002</t>
        </is>
      </c>
      <c r="B42" s="30" t="n">
        <v>46226</v>
      </c>
      <c r="C42" s="28" t="inlineStr">
        <is>
          <t>vitesse</t>
        </is>
      </c>
      <c r="D42" s="28" t="n">
        <v>3100</v>
      </c>
      <c r="E42" s="28" t="n">
        <v>7</v>
      </c>
      <c r="F42" s="28" t="inlineStr">
        <is>
          <t>oui</t>
        </is>
      </c>
      <c r="G42" s="28" t="inlineStr">
        <is>
          <t>normale</t>
        </is>
      </c>
      <c r="H42" s="28" t="inlineStr">
        <is>
          <t>tenue</t>
        </is>
      </c>
      <c r="I42" s="28" t="inlineStr"/>
      <c r="J42" s="29" t="inlineStr"/>
      <c r="K42" s="14">
        <f>IF(B42="","",B42-WEEKDAY(B42,3))</f>
        <v/>
      </c>
      <c r="L42" s="13">
        <f>IF(K42="","",YEAR(K42)&amp;"-W"&amp;TEXT(ISOWEEKNUM(K42),"00"))</f>
        <v/>
      </c>
      <c r="M42" s="13">
        <f>IF(A42="","",A42&amp;"|"&amp;TEXT(K42,"YYYY-MM-DD"))</f>
        <v/>
      </c>
    </row>
    <row r="43" ht="18" customHeight="1">
      <c r="A43" s="28" t="inlineStr">
        <is>
          <t>N002</t>
        </is>
      </c>
      <c r="B43" s="30" t="n">
        <v>46227</v>
      </c>
      <c r="C43" s="28" t="inlineStr">
        <is>
          <t>specifique</t>
        </is>
      </c>
      <c r="D43" s="28" t="n">
        <v>3700</v>
      </c>
      <c r="E43" s="28" t="n">
        <v>7</v>
      </c>
      <c r="F43" s="28" t="inlineStr">
        <is>
          <t>oui</t>
        </is>
      </c>
      <c r="G43" s="28" t="inlineStr">
        <is>
          <t>normale</t>
        </is>
      </c>
      <c r="H43" s="28" t="inlineStr">
        <is>
          <t>tenue</t>
        </is>
      </c>
      <c r="I43" s="28" t="inlineStr"/>
      <c r="J43" s="29" t="inlineStr"/>
      <c r="K43" s="14">
        <f>IF(B43="","",B43-WEEKDAY(B43,3))</f>
        <v/>
      </c>
      <c r="L43" s="13">
        <f>IF(K43="","",YEAR(K43)&amp;"-W"&amp;TEXT(ISOWEEKNUM(K43),"00"))</f>
        <v/>
      </c>
      <c r="M43" s="13">
        <f>IF(A43="","",A43&amp;"|"&amp;TEXT(K43,"YYYY-MM-DD"))</f>
        <v/>
      </c>
    </row>
    <row r="44" ht="18" customHeight="1">
      <c r="A44" s="28" t="inlineStr">
        <is>
          <t>N002</t>
        </is>
      </c>
      <c r="B44" s="30" t="n">
        <v>46230</v>
      </c>
      <c r="C44" s="28" t="inlineStr">
        <is>
          <t>endurance</t>
        </is>
      </c>
      <c r="D44" s="28" t="n">
        <v>3500</v>
      </c>
      <c r="E44" s="28" t="n">
        <v>6</v>
      </c>
      <c r="F44" s="28" t="inlineStr">
        <is>
          <t>oui</t>
        </is>
      </c>
      <c r="G44" s="28" t="inlineStr">
        <is>
          <t>normale</t>
        </is>
      </c>
      <c r="H44" s="28" t="inlineStr">
        <is>
          <t>tenue</t>
        </is>
      </c>
      <c r="I44" s="28" t="inlineStr"/>
      <c r="J44" s="29" t="inlineStr"/>
      <c r="K44" s="14">
        <f>IF(B44="","",B44-WEEKDAY(B44,3))</f>
        <v/>
      </c>
      <c r="L44" s="13">
        <f>IF(K44="","",YEAR(K44)&amp;"-W"&amp;TEXT(ISOWEEKNUM(K44),"00"))</f>
        <v/>
      </c>
      <c r="M44" s="13">
        <f>IF(A44="","",A44&amp;"|"&amp;TEXT(K44,"YYYY-MM-DD"))</f>
        <v/>
      </c>
    </row>
    <row r="45" ht="18" customHeight="1">
      <c r="A45" s="28" t="inlineStr">
        <is>
          <t>N002</t>
        </is>
      </c>
      <c r="B45" s="30" t="n">
        <v>46231</v>
      </c>
      <c r="C45" s="28" t="inlineStr">
        <is>
          <t>technique</t>
        </is>
      </c>
      <c r="D45" s="28" t="n">
        <v>3000</v>
      </c>
      <c r="E45" s="28" t="n">
        <v>5</v>
      </c>
      <c r="F45" s="28" t="inlineStr">
        <is>
          <t>oui</t>
        </is>
      </c>
      <c r="G45" s="28" t="inlineStr">
        <is>
          <t>normale</t>
        </is>
      </c>
      <c r="H45" s="28" t="inlineStr">
        <is>
          <t>tenue</t>
        </is>
      </c>
      <c r="I45" s="28" t="inlineStr"/>
      <c r="J45" s="29" t="inlineStr"/>
      <c r="K45" s="14">
        <f>IF(B45="","",B45-WEEKDAY(B45,3))</f>
        <v/>
      </c>
      <c r="L45" s="13">
        <f>IF(K45="","",YEAR(K45)&amp;"-W"&amp;TEXT(ISOWEEKNUM(K45),"00"))</f>
        <v/>
      </c>
      <c r="M45" s="13">
        <f>IF(A45="","",A45&amp;"|"&amp;TEXT(K45,"YYYY-MM-DD"))</f>
        <v/>
      </c>
    </row>
    <row r="46" ht="18" customHeight="1">
      <c r="A46" s="28" t="inlineStr">
        <is>
          <t>N002</t>
        </is>
      </c>
      <c r="B46" s="30" t="n">
        <v>46232</v>
      </c>
      <c r="C46" s="28" t="inlineStr">
        <is>
          <t>seuil</t>
        </is>
      </c>
      <c r="D46" s="28" t="n">
        <v>3700</v>
      </c>
      <c r="E46" s="28" t="n">
        <v>7</v>
      </c>
      <c r="F46" s="28" t="inlineStr">
        <is>
          <t>oui</t>
        </is>
      </c>
      <c r="G46" s="28" t="inlineStr">
        <is>
          <t>normale</t>
        </is>
      </c>
      <c r="H46" s="28" t="inlineStr">
        <is>
          <t>tenue</t>
        </is>
      </c>
      <c r="I46" s="28" t="inlineStr"/>
      <c r="J46" s="29" t="inlineStr"/>
      <c r="K46" s="14">
        <f>IF(B46="","",B46-WEEKDAY(B46,3))</f>
        <v/>
      </c>
      <c r="L46" s="13">
        <f>IF(K46="","",YEAR(K46)&amp;"-W"&amp;TEXT(ISOWEEKNUM(K46),"00"))</f>
        <v/>
      </c>
      <c r="M46" s="13">
        <f>IF(A46="","",A46&amp;"|"&amp;TEXT(K46,"YYYY-MM-DD"))</f>
        <v/>
      </c>
    </row>
    <row r="47" ht="18" customHeight="1">
      <c r="A47" s="28" t="inlineStr">
        <is>
          <t>N002</t>
        </is>
      </c>
      <c r="B47" s="30" t="n">
        <v>46233</v>
      </c>
      <c r="C47" s="28" t="inlineStr">
        <is>
          <t>vitesse</t>
        </is>
      </c>
      <c r="D47" s="28" t="n">
        <v>3300</v>
      </c>
      <c r="E47" s="28" t="n">
        <v>8</v>
      </c>
      <c r="F47" s="28" t="inlineStr">
        <is>
          <t>oui</t>
        </is>
      </c>
      <c r="G47" s="28" t="inlineStr">
        <is>
          <t>normale</t>
        </is>
      </c>
      <c r="H47" s="28" t="inlineStr">
        <is>
          <t>limite</t>
        </is>
      </c>
      <c r="I47" s="28" t="inlineStr"/>
      <c r="J47" s="29" t="inlineStr"/>
      <c r="K47" s="14">
        <f>IF(B47="","",B47-WEEKDAY(B47,3))</f>
        <v/>
      </c>
      <c r="L47" s="13">
        <f>IF(K47="","",YEAR(K47)&amp;"-W"&amp;TEXT(ISOWEEKNUM(K47),"00"))</f>
        <v/>
      </c>
      <c r="M47" s="13">
        <f>IF(A47="","",A47&amp;"|"&amp;TEXT(K47,"YYYY-MM-DD"))</f>
        <v/>
      </c>
    </row>
    <row r="48" ht="18" customHeight="1">
      <c r="A48" s="28" t="inlineStr">
        <is>
          <t>N002</t>
        </is>
      </c>
      <c r="B48" s="30" t="n">
        <v>46234</v>
      </c>
      <c r="C48" s="28" t="inlineStr">
        <is>
          <t>specifique</t>
        </is>
      </c>
      <c r="D48" s="28" t="n">
        <v>4100</v>
      </c>
      <c r="E48" s="28" t="n">
        <v>8</v>
      </c>
      <c r="F48" s="28" t="inlineStr">
        <is>
          <t>oui</t>
        </is>
      </c>
      <c r="G48" s="28" t="inlineStr">
        <is>
          <t>normale</t>
        </is>
      </c>
      <c r="H48" s="28" t="inlineStr">
        <is>
          <t>limite</t>
        </is>
      </c>
      <c r="I48" s="28" t="inlineStr"/>
      <c r="J48" s="29" t="inlineStr"/>
      <c r="K48" s="14">
        <f>IF(B48="","",B48-WEEKDAY(B48,3))</f>
        <v/>
      </c>
      <c r="L48" s="13">
        <f>IF(K48="","",YEAR(K48)&amp;"-W"&amp;TEXT(ISOWEEKNUM(K48),"00"))</f>
        <v/>
      </c>
      <c r="M48" s="13">
        <f>IF(A48="","",A48&amp;"|"&amp;TEXT(K48,"YYYY-MM-DD"))</f>
        <v/>
      </c>
    </row>
    <row r="49" ht="18" customHeight="1">
      <c r="A49" s="28" t="inlineStr">
        <is>
          <t>N002</t>
        </is>
      </c>
      <c r="B49" s="30" t="n">
        <v>46237</v>
      </c>
      <c r="C49" s="28" t="inlineStr">
        <is>
          <t>endurance</t>
        </is>
      </c>
      <c r="D49" s="28" t="n">
        <v>3600</v>
      </c>
      <c r="E49" s="28" t="n">
        <v>7</v>
      </c>
      <c r="F49" s="28" t="inlineStr">
        <is>
          <t>oui</t>
        </is>
      </c>
      <c r="G49" s="28" t="inlineStr">
        <is>
          <t>normale</t>
        </is>
      </c>
      <c r="H49" s="28" t="inlineStr">
        <is>
          <t>tenue</t>
        </is>
      </c>
      <c r="I49" s="28" t="inlineStr"/>
      <c r="J49" s="29" t="inlineStr"/>
      <c r="K49" s="14">
        <f>IF(B49="","",B49-WEEKDAY(B49,3))</f>
        <v/>
      </c>
      <c r="L49" s="13">
        <f>IF(K49="","",YEAR(K49)&amp;"-W"&amp;TEXT(ISOWEEKNUM(K49),"00"))</f>
        <v/>
      </c>
      <c r="M49" s="13">
        <f>IF(A49="","",A49&amp;"|"&amp;TEXT(K49,"YYYY-MM-DD"))</f>
        <v/>
      </c>
    </row>
    <row r="50" ht="18" customHeight="1">
      <c r="A50" s="28" t="inlineStr">
        <is>
          <t>N002</t>
        </is>
      </c>
      <c r="B50" s="30" t="n">
        <v>46238</v>
      </c>
      <c r="C50" s="28" t="inlineStr">
        <is>
          <t>technique</t>
        </is>
      </c>
      <c r="D50" s="28" t="n">
        <v>3200</v>
      </c>
      <c r="E50" s="28" t="n">
        <v>6</v>
      </c>
      <c r="F50" s="28" t="inlineStr">
        <is>
          <t>oui</t>
        </is>
      </c>
      <c r="G50" s="28" t="inlineStr">
        <is>
          <t>normale</t>
        </is>
      </c>
      <c r="H50" s="28" t="inlineStr">
        <is>
          <t>tenue</t>
        </is>
      </c>
      <c r="I50" s="28" t="inlineStr"/>
      <c r="J50" s="29" t="inlineStr"/>
      <c r="K50" s="14">
        <f>IF(B50="","",B50-WEEKDAY(B50,3))</f>
        <v/>
      </c>
      <c r="L50" s="13">
        <f>IF(K50="","",YEAR(K50)&amp;"-W"&amp;TEXT(ISOWEEKNUM(K50),"00"))</f>
        <v/>
      </c>
      <c r="M50" s="13">
        <f>IF(A50="","",A50&amp;"|"&amp;TEXT(K50,"YYYY-MM-DD"))</f>
        <v/>
      </c>
    </row>
    <row r="51" ht="18" customHeight="1">
      <c r="A51" s="28" t="inlineStr">
        <is>
          <t>N002</t>
        </is>
      </c>
      <c r="B51" s="30" t="n">
        <v>46239</v>
      </c>
      <c r="C51" s="28" t="inlineStr">
        <is>
          <t>seuil</t>
        </is>
      </c>
      <c r="D51" s="28" t="n">
        <v>3900</v>
      </c>
      <c r="E51" s="28" t="n">
        <v>8</v>
      </c>
      <c r="F51" s="28" t="inlineStr">
        <is>
          <t>oui</t>
        </is>
      </c>
      <c r="G51" s="28" t="inlineStr">
        <is>
          <t>normale</t>
        </is>
      </c>
      <c r="H51" s="28" t="inlineStr">
        <is>
          <t>limite</t>
        </is>
      </c>
      <c r="I51" s="28" t="inlineStr"/>
      <c r="J51" s="29" t="inlineStr"/>
      <c r="K51" s="14">
        <f>IF(B51="","",B51-WEEKDAY(B51,3))</f>
        <v/>
      </c>
      <c r="L51" s="13">
        <f>IF(K51="","",YEAR(K51)&amp;"-W"&amp;TEXT(ISOWEEKNUM(K51),"00"))</f>
        <v/>
      </c>
      <c r="M51" s="13">
        <f>IF(A51="","",A51&amp;"|"&amp;TEXT(K51,"YYYY-MM-DD"))</f>
        <v/>
      </c>
    </row>
    <row r="52" ht="18" customHeight="1">
      <c r="A52" s="28" t="inlineStr">
        <is>
          <t>N002</t>
        </is>
      </c>
      <c r="B52" s="30" t="n">
        <v>46240</v>
      </c>
      <c r="C52" s="28" t="inlineStr">
        <is>
          <t>vitesse</t>
        </is>
      </c>
      <c r="D52" s="28" t="n">
        <v>3400</v>
      </c>
      <c r="E52" s="28" t="n">
        <v>8</v>
      </c>
      <c r="F52" s="28" t="inlineStr">
        <is>
          <t>oui</t>
        </is>
      </c>
      <c r="G52" s="28" t="inlineStr">
        <is>
          <t>normale</t>
        </is>
      </c>
      <c r="H52" s="28" t="inlineStr">
        <is>
          <t>casse</t>
        </is>
      </c>
      <c r="I52" s="28" t="inlineStr"/>
      <c r="J52" s="29" t="inlineStr">
        <is>
          <t>Arrêt 200 m</t>
        </is>
      </c>
      <c r="K52" s="14">
        <f>IF(B52="","",B52-WEEKDAY(B52,3))</f>
        <v/>
      </c>
      <c r="L52" s="13">
        <f>IF(K52="","",YEAR(K52)&amp;"-W"&amp;TEXT(ISOWEEKNUM(K52),"00"))</f>
        <v/>
      </c>
      <c r="M52" s="13">
        <f>IF(A52="","",A52&amp;"|"&amp;TEXT(K52,"YYYY-MM-DD"))</f>
        <v/>
      </c>
    </row>
    <row r="53" ht="18" customHeight="1">
      <c r="A53" s="28" t="inlineStr">
        <is>
          <t>N002</t>
        </is>
      </c>
      <c r="B53" s="30" t="n">
        <v>46241</v>
      </c>
      <c r="C53" s="28" t="inlineStr">
        <is>
          <t>specifique</t>
        </is>
      </c>
      <c r="D53" s="28" t="n">
        <v>4200</v>
      </c>
      <c r="E53" s="28" t="n">
        <v>8</v>
      </c>
      <c r="F53" s="28" t="inlineStr">
        <is>
          <t>oui</t>
        </is>
      </c>
      <c r="G53" s="28" t="inlineStr">
        <is>
          <t>normale</t>
        </is>
      </c>
      <c r="H53" s="28" t="inlineStr">
        <is>
          <t>limite</t>
        </is>
      </c>
      <c r="I53" s="28" t="inlineStr"/>
      <c r="J53" s="29" t="inlineStr">
        <is>
          <t>Volume +10%</t>
        </is>
      </c>
      <c r="K53" s="14">
        <f>IF(B53="","",B53-WEEKDAY(B53,3))</f>
        <v/>
      </c>
      <c r="L53" s="13">
        <f>IF(K53="","",YEAR(K53)&amp;"-W"&amp;TEXT(ISOWEEKNUM(K53),"00"))</f>
        <v/>
      </c>
      <c r="M53" s="13">
        <f>IF(A53="","",A53&amp;"|"&amp;TEXT(K53,"YYYY-MM-DD"))</f>
        <v/>
      </c>
    </row>
    <row r="54" ht="18" customHeight="1">
      <c r="A54" s="28" t="inlineStr">
        <is>
          <t>N002</t>
        </is>
      </c>
      <c r="B54" s="30" t="n">
        <v>46244</v>
      </c>
      <c r="C54" s="28" t="inlineStr">
        <is>
          <t>recuperation</t>
        </is>
      </c>
      <c r="D54" s="28" t="n">
        <v>2400</v>
      </c>
      <c r="E54" s="28" t="n">
        <v>4</v>
      </c>
      <c r="F54" s="28" t="inlineStr">
        <is>
          <t>oui</t>
        </is>
      </c>
      <c r="G54" s="28" t="inlineStr">
        <is>
          <t>allegee</t>
        </is>
      </c>
      <c r="H54" s="28" t="inlineStr">
        <is>
          <t>tenue</t>
        </is>
      </c>
      <c r="I54" s="28" t="inlineStr"/>
      <c r="J54" s="29" t="inlineStr">
        <is>
          <t>Deload</t>
        </is>
      </c>
      <c r="K54" s="14">
        <f>IF(B54="","",B54-WEEKDAY(B54,3))</f>
        <v/>
      </c>
      <c r="L54" s="13">
        <f>IF(K54="","",YEAR(K54)&amp;"-W"&amp;TEXT(ISOWEEKNUM(K54),"00"))</f>
        <v/>
      </c>
      <c r="M54" s="13">
        <f>IF(A54="","",A54&amp;"|"&amp;TEXT(K54,"YYYY-MM-DD"))</f>
        <v/>
      </c>
    </row>
    <row r="55" ht="18" customHeight="1">
      <c r="A55" s="28" t="inlineStr">
        <is>
          <t>N002</t>
        </is>
      </c>
      <c r="B55" s="30" t="n">
        <v>46245</v>
      </c>
      <c r="C55" s="28" t="inlineStr">
        <is>
          <t>technique</t>
        </is>
      </c>
      <c r="D55" s="28" t="n">
        <v>2200</v>
      </c>
      <c r="E55" s="28" t="n">
        <v>4</v>
      </c>
      <c r="F55" s="28" t="inlineStr">
        <is>
          <t>oui</t>
        </is>
      </c>
      <c r="G55" s="28" t="inlineStr">
        <is>
          <t>allegee</t>
        </is>
      </c>
      <c r="H55" s="28" t="inlineStr">
        <is>
          <t>tenue</t>
        </is>
      </c>
      <c r="I55" s="28" t="inlineStr"/>
      <c r="J55" s="29" t="inlineStr"/>
      <c r="K55" s="14">
        <f>IF(B55="","",B55-WEEKDAY(B55,3))</f>
        <v/>
      </c>
      <c r="L55" s="13">
        <f>IF(K55="","",YEAR(K55)&amp;"-W"&amp;TEXT(ISOWEEKNUM(K55),"00"))</f>
        <v/>
      </c>
      <c r="M55" s="13">
        <f>IF(A55="","",A55&amp;"|"&amp;TEXT(K55,"YYYY-MM-DD"))</f>
        <v/>
      </c>
    </row>
    <row r="56" ht="18" customHeight="1">
      <c r="A56" s="28" t="inlineStr">
        <is>
          <t>N002</t>
        </is>
      </c>
      <c r="B56" s="30" t="n">
        <v>46246</v>
      </c>
      <c r="C56" s="28" t="inlineStr">
        <is>
          <t>endurance</t>
        </is>
      </c>
      <c r="D56" s="28" t="n">
        <v>2600</v>
      </c>
      <c r="E56" s="28" t="n">
        <v>5</v>
      </c>
      <c r="F56" s="28" t="inlineStr">
        <is>
          <t>oui</t>
        </is>
      </c>
      <c r="G56" s="28" t="inlineStr">
        <is>
          <t>allegee</t>
        </is>
      </c>
      <c r="H56" s="28" t="inlineStr">
        <is>
          <t>tenue</t>
        </is>
      </c>
      <c r="I56" s="28" t="inlineStr"/>
      <c r="J56" s="29" t="inlineStr"/>
      <c r="K56" s="14">
        <f>IF(B56="","",B56-WEEKDAY(B56,3))</f>
        <v/>
      </c>
      <c r="L56" s="13">
        <f>IF(K56="","",YEAR(K56)&amp;"-W"&amp;TEXT(ISOWEEKNUM(K56),"00"))</f>
        <v/>
      </c>
      <c r="M56" s="13">
        <f>IF(A56="","",A56&amp;"|"&amp;TEXT(K56,"YYYY-MM-DD"))</f>
        <v/>
      </c>
    </row>
    <row r="57" ht="18" customHeight="1">
      <c r="A57" s="28" t="inlineStr">
        <is>
          <t>N002</t>
        </is>
      </c>
      <c r="B57" s="30" t="n">
        <v>46248</v>
      </c>
      <c r="C57" s="28" t="inlineStr">
        <is>
          <t>recuperation</t>
        </is>
      </c>
      <c r="D57" s="28" t="n">
        <v>2400</v>
      </c>
      <c r="E57" s="28" t="n">
        <v>4</v>
      </c>
      <c r="F57" s="28" t="inlineStr">
        <is>
          <t>oui</t>
        </is>
      </c>
      <c r="G57" s="28" t="inlineStr">
        <is>
          <t>allegee</t>
        </is>
      </c>
      <c r="H57" s="28" t="inlineStr">
        <is>
          <t>tenue</t>
        </is>
      </c>
      <c r="I57" s="28" t="inlineStr"/>
      <c r="J57" s="29" t="inlineStr"/>
      <c r="K57" s="14">
        <f>IF(B57="","",B57-WEEKDAY(B57,3))</f>
        <v/>
      </c>
      <c r="L57" s="13">
        <f>IF(K57="","",YEAR(K57)&amp;"-W"&amp;TEXT(ISOWEEKNUM(K57),"00"))</f>
        <v/>
      </c>
      <c r="M57" s="13">
        <f>IF(A57="","",A57&amp;"|"&amp;TEXT(K57,"YYYY-MM-DD"))</f>
        <v/>
      </c>
    </row>
    <row r="58" ht="18" customHeight="1">
      <c r="A58" s="28" t="inlineStr">
        <is>
          <t>N002</t>
        </is>
      </c>
      <c r="B58" s="30" t="n">
        <v>46251</v>
      </c>
      <c r="C58" s="28" t="inlineStr">
        <is>
          <t>endurance</t>
        </is>
      </c>
      <c r="D58" s="28" t="n">
        <v>3400</v>
      </c>
      <c r="E58" s="28" t="n">
        <v>6</v>
      </c>
      <c r="F58" s="28" t="inlineStr">
        <is>
          <t>oui</t>
        </is>
      </c>
      <c r="G58" s="28" t="inlineStr">
        <is>
          <t>normale</t>
        </is>
      </c>
      <c r="H58" s="28" t="inlineStr">
        <is>
          <t>tenue</t>
        </is>
      </c>
      <c r="I58" s="28" t="inlineStr"/>
      <c r="J58" s="29" t="inlineStr"/>
      <c r="K58" s="14">
        <f>IF(B58="","",B58-WEEKDAY(B58,3))</f>
        <v/>
      </c>
      <c r="L58" s="13">
        <f>IF(K58="","",YEAR(K58)&amp;"-W"&amp;TEXT(ISOWEEKNUM(K58),"00"))</f>
        <v/>
      </c>
      <c r="M58" s="13">
        <f>IF(A58="","",A58&amp;"|"&amp;TEXT(K58,"YYYY-MM-DD"))</f>
        <v/>
      </c>
    </row>
    <row r="59" ht="18" customHeight="1">
      <c r="A59" s="28" t="inlineStr">
        <is>
          <t>N002</t>
        </is>
      </c>
      <c r="B59" s="30" t="n">
        <v>46252</v>
      </c>
      <c r="C59" s="28" t="inlineStr">
        <is>
          <t>technique</t>
        </is>
      </c>
      <c r="D59" s="28" t="n">
        <v>3000</v>
      </c>
      <c r="E59" s="28" t="n">
        <v>5</v>
      </c>
      <c r="F59" s="28" t="inlineStr">
        <is>
          <t>oui</t>
        </is>
      </c>
      <c r="G59" s="28" t="inlineStr">
        <is>
          <t>normale</t>
        </is>
      </c>
      <c r="H59" s="28" t="inlineStr">
        <is>
          <t>tenue</t>
        </is>
      </c>
      <c r="I59" s="28" t="inlineStr"/>
      <c r="J59" s="29" t="inlineStr"/>
      <c r="K59" s="14">
        <f>IF(B59="","",B59-WEEKDAY(B59,3))</f>
        <v/>
      </c>
      <c r="L59" s="13">
        <f>IF(K59="","",YEAR(K59)&amp;"-W"&amp;TEXT(ISOWEEKNUM(K59),"00"))</f>
        <v/>
      </c>
      <c r="M59" s="13">
        <f>IF(A59="","",A59&amp;"|"&amp;TEXT(K59,"YYYY-MM-DD"))</f>
        <v/>
      </c>
    </row>
    <row r="60" ht="18" customHeight="1">
      <c r="A60" s="28" t="inlineStr">
        <is>
          <t>N002</t>
        </is>
      </c>
      <c r="B60" s="30" t="n">
        <v>46253</v>
      </c>
      <c r="C60" s="28" t="inlineStr">
        <is>
          <t>seuil</t>
        </is>
      </c>
      <c r="D60" s="28" t="n">
        <v>3600</v>
      </c>
      <c r="E60" s="28" t="n">
        <v>7</v>
      </c>
      <c r="F60" s="28" t="inlineStr">
        <is>
          <t>oui</t>
        </is>
      </c>
      <c r="G60" s="28" t="inlineStr">
        <is>
          <t>normale</t>
        </is>
      </c>
      <c r="H60" s="28" t="inlineStr">
        <is>
          <t>tenue</t>
        </is>
      </c>
      <c r="I60" s="28" t="inlineStr"/>
      <c r="J60" s="29" t="inlineStr">
        <is>
          <t>Allure 400</t>
        </is>
      </c>
      <c r="K60" s="14">
        <f>IF(B60="","",B60-WEEKDAY(B60,3))</f>
        <v/>
      </c>
      <c r="L60" s="13">
        <f>IF(K60="","",YEAR(K60)&amp;"-W"&amp;TEXT(ISOWEEKNUM(K60),"00"))</f>
        <v/>
      </c>
      <c r="M60" s="13">
        <f>IF(A60="","",A60&amp;"|"&amp;TEXT(K60,"YYYY-MM-DD"))</f>
        <v/>
      </c>
    </row>
    <row r="61" ht="18" customHeight="1">
      <c r="A61" s="28" t="inlineStr">
        <is>
          <t>N002</t>
        </is>
      </c>
      <c r="B61" s="30" t="n">
        <v>46254</v>
      </c>
      <c r="C61" s="28" t="inlineStr">
        <is>
          <t>vitesse</t>
        </is>
      </c>
      <c r="D61" s="28" t="n">
        <v>3200</v>
      </c>
      <c r="E61" s="28" t="n">
        <v>7</v>
      </c>
      <c r="F61" s="28" t="inlineStr">
        <is>
          <t>oui</t>
        </is>
      </c>
      <c r="G61" s="28" t="inlineStr">
        <is>
          <t>normale</t>
        </is>
      </c>
      <c r="H61" s="28" t="inlineStr">
        <is>
          <t>tenue</t>
        </is>
      </c>
      <c r="I61" s="28" t="inlineStr"/>
      <c r="J61" s="29" t="inlineStr"/>
      <c r="K61" s="14">
        <f>IF(B61="","",B61-WEEKDAY(B61,3))</f>
        <v/>
      </c>
      <c r="L61" s="13">
        <f>IF(K61="","",YEAR(K61)&amp;"-W"&amp;TEXT(ISOWEEKNUM(K61),"00"))</f>
        <v/>
      </c>
      <c r="M61" s="13">
        <f>IF(A61="","",A61&amp;"|"&amp;TEXT(K61,"YYYY-MM-DD"))</f>
        <v/>
      </c>
    </row>
    <row r="62" ht="18" customHeight="1">
      <c r="A62" s="28" t="inlineStr">
        <is>
          <t>N002</t>
        </is>
      </c>
      <c r="B62" s="30" t="n">
        <v>46255</v>
      </c>
      <c r="C62" s="28" t="inlineStr">
        <is>
          <t>specifique</t>
        </is>
      </c>
      <c r="D62" s="28" t="n">
        <v>3800</v>
      </c>
      <c r="E62" s="28" t="n">
        <v>7</v>
      </c>
      <c r="F62" s="28" t="inlineStr">
        <is>
          <t>oui</t>
        </is>
      </c>
      <c r="G62" s="28" t="inlineStr">
        <is>
          <t>normale</t>
        </is>
      </c>
      <c r="H62" s="28" t="inlineStr">
        <is>
          <t>tenue</t>
        </is>
      </c>
      <c r="I62" s="28" t="inlineStr"/>
      <c r="J62" s="29" t="inlineStr"/>
      <c r="K62" s="14">
        <f>IF(B62="","",B62-WEEKDAY(B62,3))</f>
        <v/>
      </c>
      <c r="L62" s="13">
        <f>IF(K62="","",YEAR(K62)&amp;"-W"&amp;TEXT(ISOWEEKNUM(K62),"00"))</f>
        <v/>
      </c>
      <c r="M62" s="13">
        <f>IF(A62="","",A62&amp;"|"&amp;TEXT(K62,"YYYY-MM-DD"))</f>
        <v/>
      </c>
    </row>
    <row r="63" ht="18" customHeight="1">
      <c r="A63" s="28" t="inlineStr">
        <is>
          <t>N003</t>
        </is>
      </c>
      <c r="B63" s="30" t="n">
        <v>46203</v>
      </c>
      <c r="C63" s="28" t="inlineStr">
        <is>
          <t>technique</t>
        </is>
      </c>
      <c r="D63" s="28" t="n">
        <v>1800</v>
      </c>
      <c r="E63" s="28" t="n">
        <v>5</v>
      </c>
      <c r="F63" s="28" t="inlineStr">
        <is>
          <t>oui</t>
        </is>
      </c>
      <c r="G63" s="28" t="inlineStr">
        <is>
          <t>normale</t>
        </is>
      </c>
      <c r="H63" s="28" t="inlineStr">
        <is>
          <t>tenue</t>
        </is>
      </c>
      <c r="I63" s="28" t="inlineStr"/>
      <c r="J63" s="29" t="inlineStr"/>
      <c r="K63" s="14">
        <f>IF(B63="","",B63-WEEKDAY(B63,3))</f>
        <v/>
      </c>
      <c r="L63" s="13">
        <f>IF(K63="","",YEAR(K63)&amp;"-W"&amp;TEXT(ISOWEEKNUM(K63),"00"))</f>
        <v/>
      </c>
      <c r="M63" s="13">
        <f>IF(A63="","",A63&amp;"|"&amp;TEXT(K63,"YYYY-MM-DD"))</f>
        <v/>
      </c>
    </row>
    <row r="64" ht="18" customHeight="1">
      <c r="A64" s="28" t="inlineStr">
        <is>
          <t>N003</t>
        </is>
      </c>
      <c r="B64" s="30" t="n">
        <v>46206</v>
      </c>
      <c r="C64" s="28" t="inlineStr">
        <is>
          <t>endurance</t>
        </is>
      </c>
      <c r="D64" s="28" t="n">
        <v>2200</v>
      </c>
      <c r="E64" s="28" t="n">
        <v>6</v>
      </c>
      <c r="F64" s="28" t="inlineStr">
        <is>
          <t>oui</t>
        </is>
      </c>
      <c r="G64" s="28" t="inlineStr">
        <is>
          <t>normale</t>
        </is>
      </c>
      <c r="H64" s="28" t="inlineStr">
        <is>
          <t>tenue</t>
        </is>
      </c>
      <c r="I64" s="28" t="inlineStr"/>
      <c r="J64" s="29" t="inlineStr"/>
      <c r="K64" s="14">
        <f>IF(B64="","",B64-WEEKDAY(B64,3))</f>
        <v/>
      </c>
      <c r="L64" s="13">
        <f>IF(K64="","",YEAR(K64)&amp;"-W"&amp;TEXT(ISOWEEKNUM(K64),"00"))</f>
        <v/>
      </c>
      <c r="M64" s="13">
        <f>IF(A64="","",A64&amp;"|"&amp;TEXT(K64,"YYYY-MM-DD"))</f>
        <v/>
      </c>
    </row>
    <row r="65" ht="18" customHeight="1">
      <c r="A65" s="28" t="inlineStr">
        <is>
          <t>N003</t>
        </is>
      </c>
      <c r="B65" s="30" t="n">
        <v>46210</v>
      </c>
      <c r="C65" s="28" t="inlineStr">
        <is>
          <t>technique</t>
        </is>
      </c>
      <c r="D65" s="28" t="n">
        <v>1900</v>
      </c>
      <c r="E65" s="28" t="n">
        <v>5</v>
      </c>
      <c r="F65" s="28" t="inlineStr">
        <is>
          <t>oui</t>
        </is>
      </c>
      <c r="G65" s="28" t="inlineStr">
        <is>
          <t>normale</t>
        </is>
      </c>
      <c r="H65" s="28" t="inlineStr">
        <is>
          <t>tenue</t>
        </is>
      </c>
      <c r="I65" s="28" t="inlineStr"/>
      <c r="J65" s="29" t="inlineStr"/>
      <c r="K65" s="14">
        <f>IF(B65="","",B65-WEEKDAY(B65,3))</f>
        <v/>
      </c>
      <c r="L65" s="13">
        <f>IF(K65="","",YEAR(K65)&amp;"-W"&amp;TEXT(ISOWEEKNUM(K65),"00"))</f>
        <v/>
      </c>
      <c r="M65" s="13">
        <f>IF(A65="","",A65&amp;"|"&amp;TEXT(K65,"YYYY-MM-DD"))</f>
        <v/>
      </c>
    </row>
    <row r="66" ht="18" customHeight="1">
      <c r="A66" s="28" t="inlineStr">
        <is>
          <t>N003</t>
        </is>
      </c>
      <c r="B66" s="30" t="n">
        <v>46212</v>
      </c>
      <c r="C66" s="28" t="inlineStr">
        <is>
          <t>endurance</t>
        </is>
      </c>
      <c r="D66" s="28" t="n">
        <v>2300</v>
      </c>
      <c r="E66" s="28" t="n">
        <v>6</v>
      </c>
      <c r="F66" s="28" t="inlineStr">
        <is>
          <t>oui</t>
        </is>
      </c>
      <c r="G66" s="28" t="inlineStr">
        <is>
          <t>normale</t>
        </is>
      </c>
      <c r="H66" s="28" t="inlineStr">
        <is>
          <t>tenue</t>
        </is>
      </c>
      <c r="I66" s="28" t="inlineStr"/>
      <c r="J66" s="29" t="inlineStr"/>
      <c r="K66" s="14">
        <f>IF(B66="","",B66-WEEKDAY(B66,3))</f>
        <v/>
      </c>
      <c r="L66" s="13">
        <f>IF(K66="","",YEAR(K66)&amp;"-W"&amp;TEXT(ISOWEEKNUM(K66),"00"))</f>
        <v/>
      </c>
      <c r="M66" s="13">
        <f>IF(A66="","",A66&amp;"|"&amp;TEXT(K66,"YYYY-MM-DD"))</f>
        <v/>
      </c>
    </row>
    <row r="67" ht="18" customHeight="1">
      <c r="A67" s="28" t="inlineStr">
        <is>
          <t>N003</t>
        </is>
      </c>
      <c r="B67" s="30" t="n">
        <v>46214</v>
      </c>
      <c r="C67" s="28" t="inlineStr">
        <is>
          <t>eau_libre</t>
        </is>
      </c>
      <c r="D67" s="28" t="n">
        <v>2000</v>
      </c>
      <c r="E67" s="28" t="n">
        <v>6</v>
      </c>
      <c r="F67" s="28" t="inlineStr">
        <is>
          <t>oui</t>
        </is>
      </c>
      <c r="G67" s="28" t="inlineStr">
        <is>
          <t>normale</t>
        </is>
      </c>
      <c r="H67" s="28" t="inlineStr">
        <is>
          <t>tenue</t>
        </is>
      </c>
      <c r="I67" s="28" t="inlineStr"/>
      <c r="J67" s="29" t="inlineStr">
        <is>
          <t>Sighting</t>
        </is>
      </c>
      <c r="K67" s="14">
        <f>IF(B67="","",B67-WEEKDAY(B67,3))</f>
        <v/>
      </c>
      <c r="L67" s="13">
        <f>IF(K67="","",YEAR(K67)&amp;"-W"&amp;TEXT(ISOWEEKNUM(K67),"00"))</f>
        <v/>
      </c>
      <c r="M67" s="13">
        <f>IF(A67="","",A67&amp;"|"&amp;TEXT(K67,"YYYY-MM-DD"))</f>
        <v/>
      </c>
    </row>
    <row r="68" ht="18" customHeight="1">
      <c r="A68" s="28" t="inlineStr">
        <is>
          <t>N003</t>
        </is>
      </c>
      <c r="B68" s="30" t="n">
        <v>46217</v>
      </c>
      <c r="C68" s="28" t="inlineStr">
        <is>
          <t>endurance</t>
        </is>
      </c>
      <c r="D68" s="28" t="n">
        <v>2100</v>
      </c>
      <c r="E68" s="28" t="n">
        <v>6</v>
      </c>
      <c r="F68" s="28" t="inlineStr">
        <is>
          <t>oui</t>
        </is>
      </c>
      <c r="G68" s="28" t="inlineStr">
        <is>
          <t>normale</t>
        </is>
      </c>
      <c r="H68" s="28" t="inlineStr">
        <is>
          <t>tenue</t>
        </is>
      </c>
      <c r="I68" s="28" t="inlineStr"/>
      <c r="J68" s="29" t="inlineStr"/>
      <c r="K68" s="14">
        <f>IF(B68="","",B68-WEEKDAY(B68,3))</f>
        <v/>
      </c>
      <c r="L68" s="13">
        <f>IF(K68="","",YEAR(K68)&amp;"-W"&amp;TEXT(ISOWEEKNUM(K68),"00"))</f>
        <v/>
      </c>
      <c r="M68" s="13">
        <f>IF(A68="","",A68&amp;"|"&amp;TEXT(K68,"YYYY-MM-DD"))</f>
        <v/>
      </c>
    </row>
    <row r="69" ht="18" customHeight="1">
      <c r="A69" s="28" t="inlineStr">
        <is>
          <t>N003</t>
        </is>
      </c>
      <c r="B69" s="30" t="n">
        <v>46220</v>
      </c>
      <c r="C69" s="28" t="inlineStr">
        <is>
          <t>seuil</t>
        </is>
      </c>
      <c r="D69" s="28" t="n">
        <v>2400</v>
      </c>
      <c r="E69" s="28" t="n">
        <v>7</v>
      </c>
      <c r="F69" s="28" t="inlineStr">
        <is>
          <t>oui</t>
        </is>
      </c>
      <c r="G69" s="28" t="inlineStr">
        <is>
          <t>normale</t>
        </is>
      </c>
      <c r="H69" s="28" t="inlineStr">
        <is>
          <t>limite</t>
        </is>
      </c>
      <c r="I69" s="28" t="inlineStr"/>
      <c r="J69" s="29" t="inlineStr"/>
      <c r="K69" s="14">
        <f>IF(B69="","",B69-WEEKDAY(B69,3))</f>
        <v/>
      </c>
      <c r="L69" s="13">
        <f>IF(K69="","",YEAR(K69)&amp;"-W"&amp;TEXT(ISOWEEKNUM(K69),"00"))</f>
        <v/>
      </c>
      <c r="M69" s="13">
        <f>IF(A69="","",A69&amp;"|"&amp;TEXT(K69,"YYYY-MM-DD"))</f>
        <v/>
      </c>
    </row>
    <row r="70" ht="18" customHeight="1">
      <c r="A70" s="28" t="inlineStr">
        <is>
          <t>N003</t>
        </is>
      </c>
      <c r="B70" s="30" t="n">
        <v>46224</v>
      </c>
      <c r="C70" s="28" t="inlineStr">
        <is>
          <t>recuperation</t>
        </is>
      </c>
      <c r="D70" s="28" t="n">
        <v>1500</v>
      </c>
      <c r="E70" s="28" t="n">
        <v>4</v>
      </c>
      <c r="F70" s="28" t="inlineStr">
        <is>
          <t>oui</t>
        </is>
      </c>
      <c r="G70" s="28" t="inlineStr">
        <is>
          <t>allegee</t>
        </is>
      </c>
      <c r="H70" s="28" t="inlineStr">
        <is>
          <t>tenue</t>
        </is>
      </c>
      <c r="I70" s="28" t="inlineStr"/>
      <c r="J70" s="29" t="inlineStr">
        <is>
          <t>Deload</t>
        </is>
      </c>
      <c r="K70" s="14">
        <f>IF(B70="","",B70-WEEKDAY(B70,3))</f>
        <v/>
      </c>
      <c r="L70" s="13">
        <f>IF(K70="","",YEAR(K70)&amp;"-W"&amp;TEXT(ISOWEEKNUM(K70),"00"))</f>
        <v/>
      </c>
      <c r="M70" s="13">
        <f>IF(A70="","",A70&amp;"|"&amp;TEXT(K70,"YYYY-MM-DD"))</f>
        <v/>
      </c>
    </row>
    <row r="71" ht="18" customHeight="1">
      <c r="A71" s="28" t="inlineStr">
        <is>
          <t>N003</t>
        </is>
      </c>
      <c r="B71" s="30" t="n">
        <v>46227</v>
      </c>
      <c r="C71" s="28" t="inlineStr">
        <is>
          <t>technique</t>
        </is>
      </c>
      <c r="D71" s="28" t="n">
        <v>1600</v>
      </c>
      <c r="E71" s="28" t="n">
        <v>4</v>
      </c>
      <c r="F71" s="28" t="inlineStr">
        <is>
          <t>oui</t>
        </is>
      </c>
      <c r="G71" s="28" t="inlineStr">
        <is>
          <t>allegee</t>
        </is>
      </c>
      <c r="H71" s="28" t="inlineStr">
        <is>
          <t>tenue</t>
        </is>
      </c>
      <c r="I71" s="28" t="inlineStr"/>
      <c r="J71" s="29" t="inlineStr"/>
      <c r="K71" s="14">
        <f>IF(B71="","",B71-WEEKDAY(B71,3))</f>
        <v/>
      </c>
      <c r="L71" s="13">
        <f>IF(K71="","",YEAR(K71)&amp;"-W"&amp;TEXT(ISOWEEKNUM(K71),"00"))</f>
        <v/>
      </c>
      <c r="M71" s="13">
        <f>IF(A71="","",A71&amp;"|"&amp;TEXT(K71,"YYYY-MM-DD"))</f>
        <v/>
      </c>
    </row>
    <row r="72" ht="18" customHeight="1">
      <c r="A72" s="28" t="inlineStr">
        <is>
          <t>N003</t>
        </is>
      </c>
      <c r="B72" s="30" t="n">
        <v>46231</v>
      </c>
      <c r="C72" s="28" t="inlineStr">
        <is>
          <t>technique</t>
        </is>
      </c>
      <c r="D72" s="28" t="n">
        <v>2000</v>
      </c>
      <c r="E72" s="28" t="n">
        <v>5</v>
      </c>
      <c r="F72" s="28" t="inlineStr">
        <is>
          <t>oui</t>
        </is>
      </c>
      <c r="G72" s="28" t="inlineStr">
        <is>
          <t>normale</t>
        </is>
      </c>
      <c r="H72" s="28" t="inlineStr">
        <is>
          <t>tenue</t>
        </is>
      </c>
      <c r="I72" s="28" t="inlineStr"/>
      <c r="J72" s="29" t="inlineStr"/>
      <c r="K72" s="14">
        <f>IF(B72="","",B72-WEEKDAY(B72,3))</f>
        <v/>
      </c>
      <c r="L72" s="13">
        <f>IF(K72="","",YEAR(K72)&amp;"-W"&amp;TEXT(ISOWEEKNUM(K72),"00"))</f>
        <v/>
      </c>
      <c r="M72" s="13">
        <f>IF(A72="","",A72&amp;"|"&amp;TEXT(K72,"YYYY-MM-DD"))</f>
        <v/>
      </c>
    </row>
    <row r="73" ht="18" customHeight="1">
      <c r="A73" s="28" t="inlineStr">
        <is>
          <t>N003</t>
        </is>
      </c>
      <c r="B73" s="30" t="n">
        <v>46235</v>
      </c>
      <c r="C73" s="28" t="inlineStr">
        <is>
          <t>test</t>
        </is>
      </c>
      <c r="D73" s="28" t="n">
        <v>1800</v>
      </c>
      <c r="E73" s="28" t="n">
        <v>7</v>
      </c>
      <c r="F73" s="28" t="inlineStr">
        <is>
          <t>oui</t>
        </is>
      </c>
      <c r="G73" s="28" t="inlineStr">
        <is>
          <t>normale</t>
        </is>
      </c>
      <c r="H73" s="28" t="inlineStr">
        <is>
          <t>tenue</t>
        </is>
      </c>
      <c r="I73" s="28" t="inlineStr">
        <is>
          <t>T100</t>
        </is>
      </c>
      <c r="J73" s="29" t="inlineStr">
        <is>
          <t>T100 2 aout</t>
        </is>
      </c>
      <c r="K73" s="14">
        <f>IF(B73="","",B73-WEEKDAY(B73,3))</f>
        <v/>
      </c>
      <c r="L73" s="13">
        <f>IF(K73="","",YEAR(K73)&amp;"-W"&amp;TEXT(ISOWEEKNUM(K73),"00"))</f>
        <v/>
      </c>
      <c r="M73" s="13">
        <f>IF(A73="","",A73&amp;"|"&amp;TEXT(K73,"YYYY-MM-DD"))</f>
        <v/>
      </c>
    </row>
    <row r="74" ht="18" customHeight="1">
      <c r="A74" s="28" t="inlineStr">
        <is>
          <t>N003</t>
        </is>
      </c>
      <c r="B74" s="30" t="n">
        <v>46238</v>
      </c>
      <c r="C74" s="28" t="inlineStr">
        <is>
          <t>endurance</t>
        </is>
      </c>
      <c r="D74" s="28" t="n">
        <v>2200</v>
      </c>
      <c r="E74" s="28" t="n">
        <v>6</v>
      </c>
      <c r="F74" s="28" t="inlineStr">
        <is>
          <t>oui</t>
        </is>
      </c>
      <c r="G74" s="28" t="inlineStr">
        <is>
          <t>normale</t>
        </is>
      </c>
      <c r="H74" s="28" t="inlineStr">
        <is>
          <t>tenue</t>
        </is>
      </c>
      <c r="I74" s="28" t="inlineStr"/>
      <c r="J74" s="29" t="inlineStr"/>
      <c r="K74" s="14">
        <f>IF(B74="","",B74-WEEKDAY(B74,3))</f>
        <v/>
      </c>
      <c r="L74" s="13">
        <f>IF(K74="","",YEAR(K74)&amp;"-W"&amp;TEXT(ISOWEEKNUM(K74),"00"))</f>
        <v/>
      </c>
      <c r="M74" s="13">
        <f>IF(A74="","",A74&amp;"|"&amp;TEXT(K74,"YYYY-MM-DD"))</f>
        <v/>
      </c>
    </row>
    <row r="75" ht="18" customHeight="1">
      <c r="A75" s="28" t="inlineStr">
        <is>
          <t>N003</t>
        </is>
      </c>
      <c r="B75" s="30" t="n">
        <v>46240</v>
      </c>
      <c r="C75" s="28" t="inlineStr">
        <is>
          <t>eau_libre</t>
        </is>
      </c>
      <c r="D75" s="28" t="n">
        <v>2300</v>
      </c>
      <c r="E75" s="28" t="n">
        <v>6</v>
      </c>
      <c r="F75" s="28" t="inlineStr">
        <is>
          <t>oui</t>
        </is>
      </c>
      <c r="G75" s="28" t="inlineStr">
        <is>
          <t>normale</t>
        </is>
      </c>
      <c r="H75" s="28" t="inlineStr">
        <is>
          <t>tenue</t>
        </is>
      </c>
      <c r="I75" s="28" t="inlineStr"/>
      <c r="J75" s="29" t="inlineStr"/>
      <c r="K75" s="14">
        <f>IF(B75="","",B75-WEEKDAY(B75,3))</f>
        <v/>
      </c>
      <c r="L75" s="13">
        <f>IF(K75="","",YEAR(K75)&amp;"-W"&amp;TEXT(ISOWEEKNUM(K75),"00"))</f>
        <v/>
      </c>
      <c r="M75" s="13">
        <f>IF(A75="","",A75&amp;"|"&amp;TEXT(K75,"YYYY-MM-DD"))</f>
        <v/>
      </c>
    </row>
    <row r="76" ht="18" customHeight="1">
      <c r="A76" s="28" t="inlineStr">
        <is>
          <t>N003</t>
        </is>
      </c>
      <c r="B76" s="30" t="n">
        <v>46242</v>
      </c>
      <c r="C76" s="28" t="inlineStr">
        <is>
          <t>specifique</t>
        </is>
      </c>
      <c r="D76" s="28" t="n">
        <v>2100</v>
      </c>
      <c r="E76" s="28" t="n">
        <v>6</v>
      </c>
      <c r="F76" s="28" t="inlineStr">
        <is>
          <t>oui</t>
        </is>
      </c>
      <c r="G76" s="28" t="inlineStr">
        <is>
          <t>normale</t>
        </is>
      </c>
      <c r="H76" s="28" t="inlineStr">
        <is>
          <t>tenue</t>
        </is>
      </c>
      <c r="I76" s="28" t="inlineStr"/>
      <c r="J76" s="29" t="inlineStr"/>
      <c r="K76" s="14">
        <f>IF(B76="","",B76-WEEKDAY(B76,3))</f>
        <v/>
      </c>
      <c r="L76" s="13">
        <f>IF(K76="","",YEAR(K76)&amp;"-W"&amp;TEXT(ISOWEEKNUM(K76),"00"))</f>
        <v/>
      </c>
      <c r="M76" s="13">
        <f>IF(A76="","",A76&amp;"|"&amp;TEXT(K76,"YYYY-MM-DD"))</f>
        <v/>
      </c>
    </row>
    <row r="77" ht="18" customHeight="1">
      <c r="A77" s="28" t="inlineStr">
        <is>
          <t>N003</t>
        </is>
      </c>
      <c r="B77" s="30" t="n">
        <v>46245</v>
      </c>
      <c r="C77" s="28" t="inlineStr">
        <is>
          <t>technique</t>
        </is>
      </c>
      <c r="D77" s="28" t="n">
        <v>2100</v>
      </c>
      <c r="E77" s="28" t="n">
        <v>5</v>
      </c>
      <c r="F77" s="28" t="inlineStr">
        <is>
          <t>oui</t>
        </is>
      </c>
      <c r="G77" s="28" t="inlineStr">
        <is>
          <t>normale</t>
        </is>
      </c>
      <c r="H77" s="28" t="inlineStr">
        <is>
          <t>tenue</t>
        </is>
      </c>
      <c r="I77" s="28" t="inlineStr"/>
      <c r="J77" s="29" t="inlineStr"/>
      <c r="K77" s="14">
        <f>IF(B77="","",B77-WEEKDAY(B77,3))</f>
        <v/>
      </c>
      <c r="L77" s="13">
        <f>IF(K77="","",YEAR(K77)&amp;"-W"&amp;TEXT(ISOWEEKNUM(K77),"00"))</f>
        <v/>
      </c>
      <c r="M77" s="13">
        <f>IF(A77="","",A77&amp;"|"&amp;TEXT(K77,"YYYY-MM-DD"))</f>
        <v/>
      </c>
    </row>
    <row r="78" ht="18" customHeight="1">
      <c r="A78" s="28" t="inlineStr">
        <is>
          <t>N003</t>
        </is>
      </c>
      <c r="B78" s="30" t="n">
        <v>46247</v>
      </c>
      <c r="C78" s="28" t="inlineStr">
        <is>
          <t>endurance</t>
        </is>
      </c>
      <c r="D78" s="28" t="n">
        <v>2400</v>
      </c>
      <c r="E78" s="28" t="n">
        <v>6</v>
      </c>
      <c r="F78" s="28" t="inlineStr">
        <is>
          <t>oui</t>
        </is>
      </c>
      <c r="G78" s="28" t="inlineStr">
        <is>
          <t>normale</t>
        </is>
      </c>
      <c r="H78" s="28" t="inlineStr">
        <is>
          <t>tenue</t>
        </is>
      </c>
      <c r="I78" s="28" t="inlineStr"/>
      <c r="J78" s="29" t="inlineStr"/>
      <c r="K78" s="14">
        <f>IF(B78="","",B78-WEEKDAY(B78,3))</f>
        <v/>
      </c>
      <c r="L78" s="13">
        <f>IF(K78="","",YEAR(K78)&amp;"-W"&amp;TEXT(ISOWEEKNUM(K78),"00"))</f>
        <v/>
      </c>
      <c r="M78" s="13">
        <f>IF(A78="","",A78&amp;"|"&amp;TEXT(K78,"YYYY-MM-DD"))</f>
        <v/>
      </c>
    </row>
    <row r="79" ht="18" customHeight="1">
      <c r="A79" s="28" t="inlineStr">
        <is>
          <t>N003</t>
        </is>
      </c>
      <c r="B79" s="30" t="n">
        <v>46249</v>
      </c>
      <c r="C79" s="28" t="inlineStr">
        <is>
          <t>eau_libre</t>
        </is>
      </c>
      <c r="D79" s="28" t="n">
        <v>2200</v>
      </c>
      <c r="E79" s="28" t="n">
        <v>6</v>
      </c>
      <c r="F79" s="28" t="inlineStr">
        <is>
          <t>oui</t>
        </is>
      </c>
      <c r="G79" s="28" t="inlineStr">
        <is>
          <t>normale</t>
        </is>
      </c>
      <c r="H79" s="28" t="inlineStr">
        <is>
          <t>tenue</t>
        </is>
      </c>
      <c r="I79" s="28" t="inlineStr"/>
      <c r="J79" s="29" t="inlineStr"/>
      <c r="K79" s="14">
        <f>IF(B79="","",B79-WEEKDAY(B79,3))</f>
        <v/>
      </c>
      <c r="L79" s="13">
        <f>IF(K79="","",YEAR(K79)&amp;"-W"&amp;TEXT(ISOWEEKNUM(K79),"00"))</f>
        <v/>
      </c>
      <c r="M79" s="13">
        <f>IF(A79="","",A79&amp;"|"&amp;TEXT(K79,"YYYY-MM-DD"))</f>
        <v/>
      </c>
    </row>
    <row r="80" ht="18" customHeight="1">
      <c r="A80" s="28" t="inlineStr">
        <is>
          <t>N003</t>
        </is>
      </c>
      <c r="B80" s="30" t="n">
        <v>46251</v>
      </c>
      <c r="C80" s="28" t="inlineStr">
        <is>
          <t>eau_libre</t>
        </is>
      </c>
      <c r="D80" s="28" t="n">
        <v>2200</v>
      </c>
      <c r="E80" s="28" t="n">
        <v>6</v>
      </c>
      <c r="F80" s="28" t="inlineStr">
        <is>
          <t>oui</t>
        </is>
      </c>
      <c r="G80" s="28" t="inlineStr">
        <is>
          <t>normale</t>
        </is>
      </c>
      <c r="H80" s="28" t="inlineStr">
        <is>
          <t>tenue</t>
        </is>
      </c>
      <c r="I80" s="28" t="inlineStr"/>
      <c r="J80" s="29" t="inlineStr">
        <is>
          <t>Sighting 25m</t>
        </is>
      </c>
      <c r="K80" s="14">
        <f>IF(B80="","",B80-WEEKDAY(B80,3))</f>
        <v/>
      </c>
      <c r="L80" s="13">
        <f>IF(K80="","",YEAR(K80)&amp;"-W"&amp;TEXT(ISOWEEKNUM(K80),"00"))</f>
        <v/>
      </c>
      <c r="M80" s="13">
        <f>IF(A80="","",A80&amp;"|"&amp;TEXT(K80,"YYYY-MM-DD"))</f>
        <v/>
      </c>
    </row>
    <row r="81" ht="18" customHeight="1">
      <c r="A81" s="28" t="inlineStr">
        <is>
          <t>N003</t>
        </is>
      </c>
      <c r="B81" s="30" t="n">
        <v>46254</v>
      </c>
      <c r="C81" s="28" t="inlineStr">
        <is>
          <t>endurance</t>
        </is>
      </c>
      <c r="D81" s="28" t="n">
        <v>2300</v>
      </c>
      <c r="E81" s="28" t="n">
        <v>6</v>
      </c>
      <c r="F81" s="28" t="inlineStr">
        <is>
          <t>oui</t>
        </is>
      </c>
      <c r="G81" s="28" t="inlineStr">
        <is>
          <t>normale</t>
        </is>
      </c>
      <c r="H81" s="28" t="inlineStr">
        <is>
          <t>tenue</t>
        </is>
      </c>
      <c r="I81" s="28" t="inlineStr"/>
      <c r="J81" s="29" t="inlineStr"/>
      <c r="K81" s="14">
        <f>IF(B81="","",B81-WEEKDAY(B81,3))</f>
        <v/>
      </c>
      <c r="L81" s="13">
        <f>IF(K81="","",YEAR(K81)&amp;"-W"&amp;TEXT(ISOWEEKNUM(K81),"00"))</f>
        <v/>
      </c>
      <c r="M81" s="13">
        <f>IF(A81="","",A81&amp;"|"&amp;TEXT(K81,"YYYY-MM-DD"))</f>
        <v/>
      </c>
    </row>
    <row r="82" ht="18" customHeight="1">
      <c r="A82" s="28" t="inlineStr">
        <is>
          <t>N003</t>
        </is>
      </c>
      <c r="B82" s="30" t="n">
        <v>46255</v>
      </c>
      <c r="C82" s="28" t="inlineStr">
        <is>
          <t>endurance</t>
        </is>
      </c>
      <c r="D82" s="28" t="n">
        <v>2000</v>
      </c>
      <c r="E82" s="28" t="n">
        <v>6</v>
      </c>
      <c r="F82" s="28" t="inlineStr">
        <is>
          <t>annulee</t>
        </is>
      </c>
      <c r="G82" s="28" t="inlineStr">
        <is>
          <t>normale</t>
        </is>
      </c>
      <c r="H82" s="28" t="inlineStr">
        <is>
          <t>casse</t>
        </is>
      </c>
      <c r="I82" s="28" t="inlineStr"/>
      <c r="J82" s="29" t="inlineStr">
        <is>
          <t>Annulé orage</t>
        </is>
      </c>
      <c r="K82" s="14">
        <f>IF(B82="","",B82-WEEKDAY(B82,3))</f>
        <v/>
      </c>
      <c r="L82" s="13">
        <f>IF(K82="","",YEAR(K82)&amp;"-W"&amp;TEXT(ISOWEEKNUM(K82),"00"))</f>
        <v/>
      </c>
      <c r="M82" s="13">
        <f>IF(A82="","",A82&amp;"|"&amp;TEXT(K82,"YYYY-MM-DD"))</f>
        <v/>
      </c>
    </row>
    <row r="83">
      <c r="A83" s="28" t="n"/>
      <c r="B83" s="30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14">
        <f>IF(B83="","",B83-WEEKDAY(B83,3))</f>
        <v/>
      </c>
      <c r="L83" s="13">
        <f>IF(K83="","",YEAR(K83)&amp;"-W"&amp;TEXT(ISOWEEKNUM(K83),"00"))</f>
        <v/>
      </c>
      <c r="M83" s="13">
        <f>IF(A83="","",A83&amp;"|"&amp;TEXT(K83,"YYYY-MM-DD"))</f>
        <v/>
      </c>
    </row>
    <row r="84">
      <c r="A84" s="28" t="n"/>
      <c r="B84" s="30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14">
        <f>IF(B84="","",B84-WEEKDAY(B84,3))</f>
        <v/>
      </c>
      <c r="L84" s="13">
        <f>IF(K84="","",YEAR(K84)&amp;"-W"&amp;TEXT(ISOWEEKNUM(K84),"00"))</f>
        <v/>
      </c>
      <c r="M84" s="13">
        <f>IF(A84="","",A84&amp;"|"&amp;TEXT(K84,"YYYY-MM-DD"))</f>
        <v/>
      </c>
    </row>
    <row r="85">
      <c r="A85" s="28" t="n"/>
      <c r="B85" s="30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14">
        <f>IF(B85="","",B85-WEEKDAY(B85,3))</f>
        <v/>
      </c>
      <c r="L85" s="13">
        <f>IF(K85="","",YEAR(K85)&amp;"-W"&amp;TEXT(ISOWEEKNUM(K85),"00"))</f>
        <v/>
      </c>
      <c r="M85" s="13">
        <f>IF(A85="","",A85&amp;"|"&amp;TEXT(K85,"YYYY-MM-DD"))</f>
        <v/>
      </c>
    </row>
    <row r="86">
      <c r="A86" s="28" t="n"/>
      <c r="B86" s="30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14">
        <f>IF(B86="","",B86-WEEKDAY(B86,3))</f>
        <v/>
      </c>
      <c r="L86" s="13">
        <f>IF(K86="","",YEAR(K86)&amp;"-W"&amp;TEXT(ISOWEEKNUM(K86),"00"))</f>
        <v/>
      </c>
      <c r="M86" s="13">
        <f>IF(A86="","",A86&amp;"|"&amp;TEXT(K86,"YYYY-MM-DD"))</f>
        <v/>
      </c>
    </row>
    <row r="87">
      <c r="A87" s="28" t="n"/>
      <c r="B87" s="30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14">
        <f>IF(B87="","",B87-WEEKDAY(B87,3))</f>
        <v/>
      </c>
      <c r="L87" s="13">
        <f>IF(K87="","",YEAR(K87)&amp;"-W"&amp;TEXT(ISOWEEKNUM(K87),"00"))</f>
        <v/>
      </c>
      <c r="M87" s="13">
        <f>IF(A87="","",A87&amp;"|"&amp;TEXT(K87,"YYYY-MM-DD"))</f>
        <v/>
      </c>
    </row>
    <row r="88">
      <c r="A88" s="28" t="n"/>
      <c r="B88" s="30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14">
        <f>IF(B88="","",B88-WEEKDAY(B88,3))</f>
        <v/>
      </c>
      <c r="L88" s="13">
        <f>IF(K88="","",YEAR(K88)&amp;"-W"&amp;TEXT(ISOWEEKNUM(K88),"00"))</f>
        <v/>
      </c>
      <c r="M88" s="13">
        <f>IF(A88="","",A88&amp;"|"&amp;TEXT(K88,"YYYY-MM-DD"))</f>
        <v/>
      </c>
    </row>
    <row r="89">
      <c r="A89" s="28" t="n"/>
      <c r="B89" s="30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14">
        <f>IF(B89="","",B89-WEEKDAY(B89,3))</f>
        <v/>
      </c>
      <c r="L89" s="13">
        <f>IF(K89="","",YEAR(K89)&amp;"-W"&amp;TEXT(ISOWEEKNUM(K89),"00"))</f>
        <v/>
      </c>
      <c r="M89" s="13">
        <f>IF(A89="","",A89&amp;"|"&amp;TEXT(K89,"YYYY-MM-DD"))</f>
        <v/>
      </c>
    </row>
    <row r="90">
      <c r="A90" s="28" t="n"/>
      <c r="B90" s="30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14">
        <f>IF(B90="","",B90-WEEKDAY(B90,3))</f>
        <v/>
      </c>
      <c r="L90" s="13">
        <f>IF(K90="","",YEAR(K90)&amp;"-W"&amp;TEXT(ISOWEEKNUM(K90),"00"))</f>
        <v/>
      </c>
      <c r="M90" s="13">
        <f>IF(A90="","",A90&amp;"|"&amp;TEXT(K90,"YYYY-MM-DD"))</f>
        <v/>
      </c>
    </row>
    <row r="91">
      <c r="A91" s="28" t="n"/>
      <c r="B91" s="30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14">
        <f>IF(B91="","",B91-WEEKDAY(B91,3))</f>
        <v/>
      </c>
      <c r="L91" s="13">
        <f>IF(K91="","",YEAR(K91)&amp;"-W"&amp;TEXT(ISOWEEKNUM(K91),"00"))</f>
        <v/>
      </c>
      <c r="M91" s="13">
        <f>IF(A91="","",A91&amp;"|"&amp;TEXT(K91,"YYYY-MM-DD"))</f>
        <v/>
      </c>
    </row>
    <row r="92">
      <c r="A92" s="28" t="n"/>
      <c r="B92" s="30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14">
        <f>IF(B92="","",B92-WEEKDAY(B92,3))</f>
        <v/>
      </c>
      <c r="L92" s="13">
        <f>IF(K92="","",YEAR(K92)&amp;"-W"&amp;TEXT(ISOWEEKNUM(K92),"00"))</f>
        <v/>
      </c>
      <c r="M92" s="13">
        <f>IF(A92="","",A92&amp;"|"&amp;TEXT(K92,"YYYY-MM-DD"))</f>
        <v/>
      </c>
    </row>
    <row r="93">
      <c r="A93" s="28" t="n"/>
      <c r="B93" s="30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14">
        <f>IF(B93="","",B93-WEEKDAY(B93,3))</f>
        <v/>
      </c>
      <c r="L93" s="13">
        <f>IF(K93="","",YEAR(K93)&amp;"-W"&amp;TEXT(ISOWEEKNUM(K93),"00"))</f>
        <v/>
      </c>
      <c r="M93" s="13">
        <f>IF(A93="","",A93&amp;"|"&amp;TEXT(K93,"YYYY-MM-DD"))</f>
        <v/>
      </c>
    </row>
    <row r="94">
      <c r="A94" s="28" t="n"/>
      <c r="B94" s="30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14">
        <f>IF(B94="","",B94-WEEKDAY(B94,3))</f>
        <v/>
      </c>
      <c r="L94" s="13">
        <f>IF(K94="","",YEAR(K94)&amp;"-W"&amp;TEXT(ISOWEEKNUM(K94),"00"))</f>
        <v/>
      </c>
      <c r="M94" s="13">
        <f>IF(A94="","",A94&amp;"|"&amp;TEXT(K94,"YYYY-MM-DD"))</f>
        <v/>
      </c>
    </row>
    <row r="95">
      <c r="A95" s="28" t="n"/>
      <c r="B95" s="30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14">
        <f>IF(B95="","",B95-WEEKDAY(B95,3))</f>
        <v/>
      </c>
      <c r="L95" s="13">
        <f>IF(K95="","",YEAR(K95)&amp;"-W"&amp;TEXT(ISOWEEKNUM(K95),"00"))</f>
        <v/>
      </c>
      <c r="M95" s="13">
        <f>IF(A95="","",A95&amp;"|"&amp;TEXT(K95,"YYYY-MM-DD"))</f>
        <v/>
      </c>
    </row>
    <row r="96">
      <c r="A96" s="28" t="n"/>
      <c r="B96" s="30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14">
        <f>IF(B96="","",B96-WEEKDAY(B96,3))</f>
        <v/>
      </c>
      <c r="L96" s="13">
        <f>IF(K96="","",YEAR(K96)&amp;"-W"&amp;TEXT(ISOWEEKNUM(K96),"00"))</f>
        <v/>
      </c>
      <c r="M96" s="13">
        <f>IF(A96="","",A96&amp;"|"&amp;TEXT(K96,"YYYY-MM-DD"))</f>
        <v/>
      </c>
    </row>
    <row r="97">
      <c r="A97" s="28" t="n"/>
      <c r="B97" s="30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14">
        <f>IF(B97="","",B97-WEEKDAY(B97,3))</f>
        <v/>
      </c>
      <c r="L97" s="13">
        <f>IF(K97="","",YEAR(K97)&amp;"-W"&amp;TEXT(ISOWEEKNUM(K97),"00"))</f>
        <v/>
      </c>
      <c r="M97" s="13">
        <f>IF(A97="","",A97&amp;"|"&amp;TEXT(K97,"YYYY-MM-DD"))</f>
        <v/>
      </c>
    </row>
    <row r="98">
      <c r="A98" s="28" t="n"/>
      <c r="B98" s="30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14">
        <f>IF(B98="","",B98-WEEKDAY(B98,3))</f>
        <v/>
      </c>
      <c r="L98" s="13">
        <f>IF(K98="","",YEAR(K98)&amp;"-W"&amp;TEXT(ISOWEEKNUM(K98),"00"))</f>
        <v/>
      </c>
      <c r="M98" s="13">
        <f>IF(A98="","",A98&amp;"|"&amp;TEXT(K98,"YYYY-MM-DD"))</f>
        <v/>
      </c>
    </row>
    <row r="99">
      <c r="A99" s="28" t="n"/>
      <c r="B99" s="30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14">
        <f>IF(B99="","",B99-WEEKDAY(B99,3))</f>
        <v/>
      </c>
      <c r="L99" s="13">
        <f>IF(K99="","",YEAR(K99)&amp;"-W"&amp;TEXT(ISOWEEKNUM(K99),"00"))</f>
        <v/>
      </c>
      <c r="M99" s="13">
        <f>IF(A99="","",A99&amp;"|"&amp;TEXT(K99,"YYYY-MM-DD"))</f>
        <v/>
      </c>
    </row>
    <row r="100">
      <c r="A100" s="28" t="n"/>
      <c r="B100" s="30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14">
        <f>IF(B100="","",B100-WEEKDAY(B100,3))</f>
        <v/>
      </c>
      <c r="L100" s="13">
        <f>IF(K100="","",YEAR(K100)&amp;"-W"&amp;TEXT(ISOWEEKNUM(K100),"00"))</f>
        <v/>
      </c>
      <c r="M100" s="13">
        <f>IF(A100="","",A100&amp;"|"&amp;TEXT(K100,"YYYY-MM-DD"))</f>
        <v/>
      </c>
    </row>
    <row r="101">
      <c r="A101" s="28" t="n"/>
      <c r="B101" s="30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14">
        <f>IF(B101="","",B101-WEEKDAY(B101,3))</f>
        <v/>
      </c>
      <c r="L101" s="13">
        <f>IF(K101="","",YEAR(K101)&amp;"-W"&amp;TEXT(ISOWEEKNUM(K101),"00"))</f>
        <v/>
      </c>
      <c r="M101" s="13">
        <f>IF(A101="","",A101&amp;"|"&amp;TEXT(K101,"YYYY-MM-DD"))</f>
        <v/>
      </c>
    </row>
    <row r="102">
      <c r="A102" s="28" t="n"/>
      <c r="B102" s="30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14">
        <f>IF(B102="","",B102-WEEKDAY(B102,3))</f>
        <v/>
      </c>
      <c r="L102" s="13">
        <f>IF(K102="","",YEAR(K102)&amp;"-W"&amp;TEXT(ISOWEEKNUM(K102),"00"))</f>
        <v/>
      </c>
      <c r="M102" s="13">
        <f>IF(A102="","",A102&amp;"|"&amp;TEXT(K102,"YYYY-MM-DD"))</f>
        <v/>
      </c>
    </row>
    <row r="103">
      <c r="A103" s="28" t="n"/>
      <c r="B103" s="30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14">
        <f>IF(B103="","",B103-WEEKDAY(B103,3))</f>
        <v/>
      </c>
      <c r="L103" s="13">
        <f>IF(K103="","",YEAR(K103)&amp;"-W"&amp;TEXT(ISOWEEKNUM(K103),"00"))</f>
        <v/>
      </c>
      <c r="M103" s="13">
        <f>IF(A103="","",A103&amp;"|"&amp;TEXT(K103,"YYYY-MM-DD"))</f>
        <v/>
      </c>
    </row>
    <row r="104">
      <c r="A104" s="28" t="n"/>
      <c r="B104" s="30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14">
        <f>IF(B104="","",B104-WEEKDAY(B104,3))</f>
        <v/>
      </c>
      <c r="L104" s="13">
        <f>IF(K104="","",YEAR(K104)&amp;"-W"&amp;TEXT(ISOWEEKNUM(K104),"00"))</f>
        <v/>
      </c>
      <c r="M104" s="13">
        <f>IF(A104="","",A104&amp;"|"&amp;TEXT(K104,"YYYY-MM-DD"))</f>
        <v/>
      </c>
    </row>
    <row r="105">
      <c r="A105" s="28" t="n"/>
      <c r="B105" s="30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14">
        <f>IF(B105="","",B105-WEEKDAY(B105,3))</f>
        <v/>
      </c>
      <c r="L105" s="13">
        <f>IF(K105="","",YEAR(K105)&amp;"-W"&amp;TEXT(ISOWEEKNUM(K105),"00"))</f>
        <v/>
      </c>
      <c r="M105" s="13">
        <f>IF(A105="","",A105&amp;"|"&amp;TEXT(K105,"YYYY-MM-DD"))</f>
        <v/>
      </c>
    </row>
    <row r="106">
      <c r="A106" s="28" t="n"/>
      <c r="B106" s="30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14">
        <f>IF(B106="","",B106-WEEKDAY(B106,3))</f>
        <v/>
      </c>
      <c r="L106" s="13">
        <f>IF(K106="","",YEAR(K106)&amp;"-W"&amp;TEXT(ISOWEEKNUM(K106),"00"))</f>
        <v/>
      </c>
      <c r="M106" s="13">
        <f>IF(A106="","",A106&amp;"|"&amp;TEXT(K106,"YYYY-MM-DD"))</f>
        <v/>
      </c>
    </row>
    <row r="107">
      <c r="A107" s="28" t="n"/>
      <c r="B107" s="30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14">
        <f>IF(B107="","",B107-WEEKDAY(B107,3))</f>
        <v/>
      </c>
      <c r="L107" s="13">
        <f>IF(K107="","",YEAR(K107)&amp;"-W"&amp;TEXT(ISOWEEKNUM(K107),"00"))</f>
        <v/>
      </c>
      <c r="M107" s="13">
        <f>IF(A107="","",A107&amp;"|"&amp;TEXT(K107,"YYYY-MM-DD"))</f>
        <v/>
      </c>
    </row>
    <row r="108">
      <c r="A108" s="28" t="n"/>
      <c r="B108" s="30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14">
        <f>IF(B108="","",B108-WEEKDAY(B108,3))</f>
        <v/>
      </c>
      <c r="L108" s="13">
        <f>IF(K108="","",YEAR(K108)&amp;"-W"&amp;TEXT(ISOWEEKNUM(K108),"00"))</f>
        <v/>
      </c>
      <c r="M108" s="13">
        <f>IF(A108="","",A108&amp;"|"&amp;TEXT(K108,"YYYY-MM-DD"))</f>
        <v/>
      </c>
    </row>
    <row r="109">
      <c r="A109" s="28" t="n"/>
      <c r="B109" s="30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14">
        <f>IF(B109="","",B109-WEEKDAY(B109,3))</f>
        <v/>
      </c>
      <c r="L109" s="13">
        <f>IF(K109="","",YEAR(K109)&amp;"-W"&amp;TEXT(ISOWEEKNUM(K109),"00"))</f>
        <v/>
      </c>
      <c r="M109" s="13">
        <f>IF(A109="","",A109&amp;"|"&amp;TEXT(K109,"YYYY-MM-DD"))</f>
        <v/>
      </c>
    </row>
    <row r="110">
      <c r="A110" s="28" t="n"/>
      <c r="B110" s="30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14">
        <f>IF(B110="","",B110-WEEKDAY(B110,3))</f>
        <v/>
      </c>
      <c r="L110" s="13">
        <f>IF(K110="","",YEAR(K110)&amp;"-W"&amp;TEXT(ISOWEEKNUM(K110),"00"))</f>
        <v/>
      </c>
      <c r="M110" s="13">
        <f>IF(A110="","",A110&amp;"|"&amp;TEXT(K110,"YYYY-MM-DD"))</f>
        <v/>
      </c>
    </row>
    <row r="111">
      <c r="A111" s="28" t="n"/>
      <c r="B111" s="30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14">
        <f>IF(B111="","",B111-WEEKDAY(B111,3))</f>
        <v/>
      </c>
      <c r="L111" s="13">
        <f>IF(K111="","",YEAR(K111)&amp;"-W"&amp;TEXT(ISOWEEKNUM(K111),"00"))</f>
        <v/>
      </c>
      <c r="M111" s="13">
        <f>IF(A111="","",A111&amp;"|"&amp;TEXT(K111,"YYYY-MM-DD"))</f>
        <v/>
      </c>
    </row>
    <row r="112">
      <c r="A112" s="28" t="n"/>
      <c r="B112" s="30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14">
        <f>IF(B112="","",B112-WEEKDAY(B112,3))</f>
        <v/>
      </c>
      <c r="L112" s="13">
        <f>IF(K112="","",YEAR(K112)&amp;"-W"&amp;TEXT(ISOWEEKNUM(K112),"00"))</f>
        <v/>
      </c>
      <c r="M112" s="13">
        <f>IF(A112="","",A112&amp;"|"&amp;TEXT(K112,"YYYY-MM-DD"))</f>
        <v/>
      </c>
    </row>
    <row r="113">
      <c r="A113" s="28" t="n"/>
      <c r="B113" s="30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14">
        <f>IF(B113="","",B113-WEEKDAY(B113,3))</f>
        <v/>
      </c>
      <c r="L113" s="13">
        <f>IF(K113="","",YEAR(K113)&amp;"-W"&amp;TEXT(ISOWEEKNUM(K113),"00"))</f>
        <v/>
      </c>
      <c r="M113" s="13">
        <f>IF(A113="","",A113&amp;"|"&amp;TEXT(K113,"YYYY-MM-DD"))</f>
        <v/>
      </c>
    </row>
    <row r="114">
      <c r="A114" s="28" t="n"/>
      <c r="B114" s="30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14">
        <f>IF(B114="","",B114-WEEKDAY(B114,3))</f>
        <v/>
      </c>
      <c r="L114" s="13">
        <f>IF(K114="","",YEAR(K114)&amp;"-W"&amp;TEXT(ISOWEEKNUM(K114),"00"))</f>
        <v/>
      </c>
      <c r="M114" s="13">
        <f>IF(A114="","",A114&amp;"|"&amp;TEXT(K114,"YYYY-MM-DD"))</f>
        <v/>
      </c>
    </row>
    <row r="115">
      <c r="A115" s="28" t="n"/>
      <c r="B115" s="30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14">
        <f>IF(B115="","",B115-WEEKDAY(B115,3))</f>
        <v/>
      </c>
      <c r="L115" s="13">
        <f>IF(K115="","",YEAR(K115)&amp;"-W"&amp;TEXT(ISOWEEKNUM(K115),"00"))</f>
        <v/>
      </c>
      <c r="M115" s="13">
        <f>IF(A115="","",A115&amp;"|"&amp;TEXT(K115,"YYYY-MM-DD"))</f>
        <v/>
      </c>
    </row>
    <row r="116">
      <c r="A116" s="28" t="n"/>
      <c r="B116" s="30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14">
        <f>IF(B116="","",B116-WEEKDAY(B116,3))</f>
        <v/>
      </c>
      <c r="L116" s="13">
        <f>IF(K116="","",YEAR(K116)&amp;"-W"&amp;TEXT(ISOWEEKNUM(K116),"00"))</f>
        <v/>
      </c>
      <c r="M116" s="13">
        <f>IF(A116="","",A116&amp;"|"&amp;TEXT(K116,"YYYY-MM-DD"))</f>
        <v/>
      </c>
    </row>
    <row r="117">
      <c r="A117" s="28" t="n"/>
      <c r="B117" s="30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14">
        <f>IF(B117="","",B117-WEEKDAY(B117,3))</f>
        <v/>
      </c>
      <c r="L117" s="13">
        <f>IF(K117="","",YEAR(K117)&amp;"-W"&amp;TEXT(ISOWEEKNUM(K117),"00"))</f>
        <v/>
      </c>
      <c r="M117" s="13">
        <f>IF(A117="","",A117&amp;"|"&amp;TEXT(K117,"YYYY-MM-DD"))</f>
        <v/>
      </c>
    </row>
    <row r="118">
      <c r="A118" s="28" t="n"/>
      <c r="B118" s="30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14">
        <f>IF(B118="","",B118-WEEKDAY(B118,3))</f>
        <v/>
      </c>
      <c r="L118" s="13">
        <f>IF(K118="","",YEAR(K118)&amp;"-W"&amp;TEXT(ISOWEEKNUM(K118),"00"))</f>
        <v/>
      </c>
      <c r="M118" s="13">
        <f>IF(A118="","",A118&amp;"|"&amp;TEXT(K118,"YYYY-MM-DD"))</f>
        <v/>
      </c>
    </row>
    <row r="119">
      <c r="A119" s="28" t="n"/>
      <c r="B119" s="30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14">
        <f>IF(B119="","",B119-WEEKDAY(B119,3))</f>
        <v/>
      </c>
      <c r="L119" s="13">
        <f>IF(K119="","",YEAR(K119)&amp;"-W"&amp;TEXT(ISOWEEKNUM(K119),"00"))</f>
        <v/>
      </c>
      <c r="M119" s="13">
        <f>IF(A119="","",A119&amp;"|"&amp;TEXT(K119,"YYYY-MM-DD"))</f>
        <v/>
      </c>
    </row>
    <row r="120">
      <c r="A120" s="28" t="n"/>
      <c r="B120" s="30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14">
        <f>IF(B120="","",B120-WEEKDAY(B120,3))</f>
        <v/>
      </c>
      <c r="L120" s="13">
        <f>IF(K120="","",YEAR(K120)&amp;"-W"&amp;TEXT(ISOWEEKNUM(K120),"00"))</f>
        <v/>
      </c>
      <c r="M120" s="13">
        <f>IF(A120="","",A120&amp;"|"&amp;TEXT(K120,"YYYY-MM-DD"))</f>
        <v/>
      </c>
    </row>
    <row r="121">
      <c r="A121" s="28" t="n"/>
      <c r="B121" s="30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14">
        <f>IF(B121="","",B121-WEEKDAY(B121,3))</f>
        <v/>
      </c>
      <c r="L121" s="13">
        <f>IF(K121="","",YEAR(K121)&amp;"-W"&amp;TEXT(ISOWEEKNUM(K121),"00"))</f>
        <v/>
      </c>
      <c r="M121" s="13">
        <f>IF(A121="","",A121&amp;"|"&amp;TEXT(K121,"YYYY-MM-DD"))</f>
        <v/>
      </c>
    </row>
    <row r="122">
      <c r="A122" s="28" t="n"/>
      <c r="B122" s="30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14">
        <f>IF(B122="","",B122-WEEKDAY(B122,3))</f>
        <v/>
      </c>
      <c r="L122" s="13">
        <f>IF(K122="","",YEAR(K122)&amp;"-W"&amp;TEXT(ISOWEEKNUM(K122),"00"))</f>
        <v/>
      </c>
      <c r="M122" s="13">
        <f>IF(A122="","",A122&amp;"|"&amp;TEXT(K122,"YYYY-MM-DD"))</f>
        <v/>
      </c>
    </row>
    <row r="123">
      <c r="A123" s="28" t="n"/>
      <c r="B123" s="30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14">
        <f>IF(B123="","",B123-WEEKDAY(B123,3))</f>
        <v/>
      </c>
      <c r="L123" s="13">
        <f>IF(K123="","",YEAR(K123)&amp;"-W"&amp;TEXT(ISOWEEKNUM(K123),"00"))</f>
        <v/>
      </c>
      <c r="M123" s="13">
        <f>IF(A123="","",A123&amp;"|"&amp;TEXT(K123,"YYYY-MM-DD"))</f>
        <v/>
      </c>
    </row>
    <row r="124">
      <c r="A124" s="28" t="n"/>
      <c r="B124" s="30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14">
        <f>IF(B124="","",B124-WEEKDAY(B124,3))</f>
        <v/>
      </c>
      <c r="L124" s="13">
        <f>IF(K124="","",YEAR(K124)&amp;"-W"&amp;TEXT(ISOWEEKNUM(K124),"00"))</f>
        <v/>
      </c>
      <c r="M124" s="13">
        <f>IF(A124="","",A124&amp;"|"&amp;TEXT(K124,"YYYY-MM-DD"))</f>
        <v/>
      </c>
    </row>
    <row r="125">
      <c r="A125" s="28" t="n"/>
      <c r="B125" s="30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14">
        <f>IF(B125="","",B125-WEEKDAY(B125,3))</f>
        <v/>
      </c>
      <c r="L125" s="13">
        <f>IF(K125="","",YEAR(K125)&amp;"-W"&amp;TEXT(ISOWEEKNUM(K125),"00"))</f>
        <v/>
      </c>
      <c r="M125" s="13">
        <f>IF(A125="","",A125&amp;"|"&amp;TEXT(K125,"YYYY-MM-DD"))</f>
        <v/>
      </c>
    </row>
    <row r="126">
      <c r="A126" s="28" t="n"/>
      <c r="B126" s="30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14">
        <f>IF(B126="","",B126-WEEKDAY(B126,3))</f>
        <v/>
      </c>
      <c r="L126" s="13">
        <f>IF(K126="","",YEAR(K126)&amp;"-W"&amp;TEXT(ISOWEEKNUM(K126),"00"))</f>
        <v/>
      </c>
      <c r="M126" s="13">
        <f>IF(A126="","",A126&amp;"|"&amp;TEXT(K126,"YYYY-MM-DD"))</f>
        <v/>
      </c>
    </row>
    <row r="127">
      <c r="A127" s="28" t="n"/>
      <c r="B127" s="30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14">
        <f>IF(B127="","",B127-WEEKDAY(B127,3))</f>
        <v/>
      </c>
      <c r="L127" s="13">
        <f>IF(K127="","",YEAR(K127)&amp;"-W"&amp;TEXT(ISOWEEKNUM(K127),"00"))</f>
        <v/>
      </c>
      <c r="M127" s="13">
        <f>IF(A127="","",A127&amp;"|"&amp;TEXT(K127,"YYYY-MM-DD"))</f>
        <v/>
      </c>
    </row>
    <row r="128">
      <c r="A128" s="28" t="n"/>
      <c r="B128" s="30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14">
        <f>IF(B128="","",B128-WEEKDAY(B128,3))</f>
        <v/>
      </c>
      <c r="L128" s="13">
        <f>IF(K128="","",YEAR(K128)&amp;"-W"&amp;TEXT(ISOWEEKNUM(K128),"00"))</f>
        <v/>
      </c>
      <c r="M128" s="13">
        <f>IF(A128="","",A128&amp;"|"&amp;TEXT(K128,"YYYY-MM-DD"))</f>
        <v/>
      </c>
    </row>
    <row r="129">
      <c r="A129" s="28" t="n"/>
      <c r="B129" s="30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14">
        <f>IF(B129="","",B129-WEEKDAY(B129,3))</f>
        <v/>
      </c>
      <c r="L129" s="13">
        <f>IF(K129="","",YEAR(K129)&amp;"-W"&amp;TEXT(ISOWEEKNUM(K129),"00"))</f>
        <v/>
      </c>
      <c r="M129" s="13">
        <f>IF(A129="","",A129&amp;"|"&amp;TEXT(K129,"YYYY-MM-DD"))</f>
        <v/>
      </c>
    </row>
    <row r="130">
      <c r="A130" s="28" t="n"/>
      <c r="B130" s="30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14">
        <f>IF(B130="","",B130-WEEKDAY(B130,3))</f>
        <v/>
      </c>
      <c r="L130" s="13">
        <f>IF(K130="","",YEAR(K130)&amp;"-W"&amp;TEXT(ISOWEEKNUM(K130),"00"))</f>
        <v/>
      </c>
      <c r="M130" s="13">
        <f>IF(A130="","",A130&amp;"|"&amp;TEXT(K130,"YYYY-MM-DD"))</f>
        <v/>
      </c>
    </row>
    <row r="131">
      <c r="A131" s="28" t="n"/>
      <c r="B131" s="30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14">
        <f>IF(B131="","",B131-WEEKDAY(B131,3))</f>
        <v/>
      </c>
      <c r="L131" s="13">
        <f>IF(K131="","",YEAR(K131)&amp;"-W"&amp;TEXT(ISOWEEKNUM(K131),"00"))</f>
        <v/>
      </c>
      <c r="M131" s="13">
        <f>IF(A131="","",A131&amp;"|"&amp;TEXT(K131,"YYYY-MM-DD"))</f>
        <v/>
      </c>
    </row>
    <row r="132">
      <c r="A132" s="28" t="n"/>
      <c r="B132" s="30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14">
        <f>IF(B132="","",B132-WEEKDAY(B132,3))</f>
        <v/>
      </c>
      <c r="L132" s="13">
        <f>IF(K132="","",YEAR(K132)&amp;"-W"&amp;TEXT(ISOWEEKNUM(K132),"00"))</f>
        <v/>
      </c>
      <c r="M132" s="13">
        <f>IF(A132="","",A132&amp;"|"&amp;TEXT(K132,"YYYY-MM-DD"))</f>
        <v/>
      </c>
    </row>
    <row r="133">
      <c r="A133" s="28" t="n"/>
      <c r="B133" s="30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14">
        <f>IF(B133="","",B133-WEEKDAY(B133,3))</f>
        <v/>
      </c>
      <c r="L133" s="13">
        <f>IF(K133="","",YEAR(K133)&amp;"-W"&amp;TEXT(ISOWEEKNUM(K133),"00"))</f>
        <v/>
      </c>
      <c r="M133" s="13">
        <f>IF(A133="","",A133&amp;"|"&amp;TEXT(K133,"YYYY-MM-DD"))</f>
        <v/>
      </c>
    </row>
    <row r="134">
      <c r="A134" s="28" t="n"/>
      <c r="B134" s="30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14">
        <f>IF(B134="","",B134-WEEKDAY(B134,3))</f>
        <v/>
      </c>
      <c r="L134" s="13">
        <f>IF(K134="","",YEAR(K134)&amp;"-W"&amp;TEXT(ISOWEEKNUM(K134),"00"))</f>
        <v/>
      </c>
      <c r="M134" s="13">
        <f>IF(A134="","",A134&amp;"|"&amp;TEXT(K134,"YYYY-MM-DD"))</f>
        <v/>
      </c>
    </row>
    <row r="135">
      <c r="A135" s="28" t="n"/>
      <c r="B135" s="30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14">
        <f>IF(B135="","",B135-WEEKDAY(B135,3))</f>
        <v/>
      </c>
      <c r="L135" s="13">
        <f>IF(K135="","",YEAR(K135)&amp;"-W"&amp;TEXT(ISOWEEKNUM(K135),"00"))</f>
        <v/>
      </c>
      <c r="M135" s="13">
        <f>IF(A135="","",A135&amp;"|"&amp;TEXT(K135,"YYYY-MM-DD"))</f>
        <v/>
      </c>
    </row>
    <row r="136">
      <c r="A136" s="28" t="n"/>
      <c r="B136" s="30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14">
        <f>IF(B136="","",B136-WEEKDAY(B136,3))</f>
        <v/>
      </c>
      <c r="L136" s="13">
        <f>IF(K136="","",YEAR(K136)&amp;"-W"&amp;TEXT(ISOWEEKNUM(K136),"00"))</f>
        <v/>
      </c>
      <c r="M136" s="13">
        <f>IF(A136="","",A136&amp;"|"&amp;TEXT(K136,"YYYY-MM-DD"))</f>
        <v/>
      </c>
    </row>
    <row r="137">
      <c r="A137" s="28" t="n"/>
      <c r="B137" s="30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14">
        <f>IF(B137="","",B137-WEEKDAY(B137,3))</f>
        <v/>
      </c>
      <c r="L137" s="13">
        <f>IF(K137="","",YEAR(K137)&amp;"-W"&amp;TEXT(ISOWEEKNUM(K137),"00"))</f>
        <v/>
      </c>
      <c r="M137" s="13">
        <f>IF(A137="","",A137&amp;"|"&amp;TEXT(K137,"YYYY-MM-DD"))</f>
        <v/>
      </c>
    </row>
    <row r="138">
      <c r="A138" s="28" t="n"/>
      <c r="B138" s="30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14">
        <f>IF(B138="","",B138-WEEKDAY(B138,3))</f>
        <v/>
      </c>
      <c r="L138" s="13">
        <f>IF(K138="","",YEAR(K138)&amp;"-W"&amp;TEXT(ISOWEEKNUM(K138),"00"))</f>
        <v/>
      </c>
      <c r="M138" s="13">
        <f>IF(A138="","",A138&amp;"|"&amp;TEXT(K138,"YYYY-MM-DD"))</f>
        <v/>
      </c>
    </row>
    <row r="139">
      <c r="A139" s="28" t="n"/>
      <c r="B139" s="30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14">
        <f>IF(B139="","",B139-WEEKDAY(B139,3))</f>
        <v/>
      </c>
      <c r="L139" s="13">
        <f>IF(K139="","",YEAR(K139)&amp;"-W"&amp;TEXT(ISOWEEKNUM(K139),"00"))</f>
        <v/>
      </c>
      <c r="M139" s="13">
        <f>IF(A139="","",A139&amp;"|"&amp;TEXT(K139,"YYYY-MM-DD"))</f>
        <v/>
      </c>
    </row>
    <row r="140">
      <c r="A140" s="28" t="n"/>
      <c r="B140" s="30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14">
        <f>IF(B140="","",B140-WEEKDAY(B140,3))</f>
        <v/>
      </c>
      <c r="L140" s="13">
        <f>IF(K140="","",YEAR(K140)&amp;"-W"&amp;TEXT(ISOWEEKNUM(K140),"00"))</f>
        <v/>
      </c>
      <c r="M140" s="13">
        <f>IF(A140="","",A140&amp;"|"&amp;TEXT(K140,"YYYY-MM-DD"))</f>
        <v/>
      </c>
    </row>
    <row r="141">
      <c r="A141" s="28" t="n"/>
      <c r="B141" s="30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14">
        <f>IF(B141="","",B141-WEEKDAY(B141,3))</f>
        <v/>
      </c>
      <c r="L141" s="13">
        <f>IF(K141="","",YEAR(K141)&amp;"-W"&amp;TEXT(ISOWEEKNUM(K141),"00"))</f>
        <v/>
      </c>
      <c r="M141" s="13">
        <f>IF(A141="","",A141&amp;"|"&amp;TEXT(K141,"YYYY-MM-DD"))</f>
        <v/>
      </c>
    </row>
    <row r="142">
      <c r="A142" s="28" t="n"/>
      <c r="B142" s="30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14">
        <f>IF(B142="","",B142-WEEKDAY(B142,3))</f>
        <v/>
      </c>
      <c r="L142" s="13">
        <f>IF(K142="","",YEAR(K142)&amp;"-W"&amp;TEXT(ISOWEEKNUM(K142),"00"))</f>
        <v/>
      </c>
      <c r="M142" s="13">
        <f>IF(A142="","",A142&amp;"|"&amp;TEXT(K142,"YYYY-MM-DD"))</f>
        <v/>
      </c>
    </row>
    <row r="143">
      <c r="A143" s="28" t="n"/>
      <c r="B143" s="30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14">
        <f>IF(B143="","",B143-WEEKDAY(B143,3))</f>
        <v/>
      </c>
      <c r="L143" s="13">
        <f>IF(K143="","",YEAR(K143)&amp;"-W"&amp;TEXT(ISOWEEKNUM(K143),"00"))</f>
        <v/>
      </c>
      <c r="M143" s="13">
        <f>IF(A143="","",A143&amp;"|"&amp;TEXT(K143,"YYYY-MM-DD"))</f>
        <v/>
      </c>
    </row>
    <row r="144">
      <c r="A144" s="28" t="n"/>
      <c r="B144" s="30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14">
        <f>IF(B144="","",B144-WEEKDAY(B144,3))</f>
        <v/>
      </c>
      <c r="L144" s="13">
        <f>IF(K144="","",YEAR(K144)&amp;"-W"&amp;TEXT(ISOWEEKNUM(K144),"00"))</f>
        <v/>
      </c>
      <c r="M144" s="13">
        <f>IF(A144="","",A144&amp;"|"&amp;TEXT(K144,"YYYY-MM-DD"))</f>
        <v/>
      </c>
    </row>
    <row r="145">
      <c r="A145" s="28" t="n"/>
      <c r="B145" s="30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14">
        <f>IF(B145="","",B145-WEEKDAY(B145,3))</f>
        <v/>
      </c>
      <c r="L145" s="13">
        <f>IF(K145="","",YEAR(K145)&amp;"-W"&amp;TEXT(ISOWEEKNUM(K145),"00"))</f>
        <v/>
      </c>
      <c r="M145" s="13">
        <f>IF(A145="","",A145&amp;"|"&amp;TEXT(K145,"YYYY-MM-DD"))</f>
        <v/>
      </c>
    </row>
    <row r="146">
      <c r="A146" s="28" t="n"/>
      <c r="B146" s="30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14">
        <f>IF(B146="","",B146-WEEKDAY(B146,3))</f>
        <v/>
      </c>
      <c r="L146" s="13">
        <f>IF(K146="","",YEAR(K146)&amp;"-W"&amp;TEXT(ISOWEEKNUM(K146),"00"))</f>
        <v/>
      </c>
      <c r="M146" s="13">
        <f>IF(A146="","",A146&amp;"|"&amp;TEXT(K146,"YYYY-MM-DD"))</f>
        <v/>
      </c>
    </row>
    <row r="147">
      <c r="A147" s="28" t="n"/>
      <c r="B147" s="30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14">
        <f>IF(B147="","",B147-WEEKDAY(B147,3))</f>
        <v/>
      </c>
      <c r="L147" s="13">
        <f>IF(K147="","",YEAR(K147)&amp;"-W"&amp;TEXT(ISOWEEKNUM(K147),"00"))</f>
        <v/>
      </c>
      <c r="M147" s="13">
        <f>IF(A147="","",A147&amp;"|"&amp;TEXT(K147,"YYYY-MM-DD"))</f>
        <v/>
      </c>
    </row>
    <row r="148">
      <c r="A148" s="28" t="n"/>
      <c r="B148" s="30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14">
        <f>IF(B148="","",B148-WEEKDAY(B148,3))</f>
        <v/>
      </c>
      <c r="L148" s="13">
        <f>IF(K148="","",YEAR(K148)&amp;"-W"&amp;TEXT(ISOWEEKNUM(K148),"00"))</f>
        <v/>
      </c>
      <c r="M148" s="13">
        <f>IF(A148="","",A148&amp;"|"&amp;TEXT(K148,"YYYY-MM-DD"))</f>
        <v/>
      </c>
    </row>
    <row r="149">
      <c r="A149" s="28" t="n"/>
      <c r="B149" s="30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14">
        <f>IF(B149="","",B149-WEEKDAY(B149,3))</f>
        <v/>
      </c>
      <c r="L149" s="13">
        <f>IF(K149="","",YEAR(K149)&amp;"-W"&amp;TEXT(ISOWEEKNUM(K149),"00"))</f>
        <v/>
      </c>
      <c r="M149" s="13">
        <f>IF(A149="","",A149&amp;"|"&amp;TEXT(K149,"YYYY-MM-DD"))</f>
        <v/>
      </c>
    </row>
    <row r="150">
      <c r="A150" s="28" t="n"/>
      <c r="B150" s="30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14">
        <f>IF(B150="","",B150-WEEKDAY(B150,3))</f>
        <v/>
      </c>
      <c r="L150" s="13">
        <f>IF(K150="","",YEAR(K150)&amp;"-W"&amp;TEXT(ISOWEEKNUM(K150),"00"))</f>
        <v/>
      </c>
      <c r="M150" s="13">
        <f>IF(A150="","",A150&amp;"|"&amp;TEXT(K150,"YYYY-MM-DD"))</f>
        <v/>
      </c>
    </row>
    <row r="151">
      <c r="A151" s="28" t="n"/>
      <c r="B151" s="30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14">
        <f>IF(B151="","",B151-WEEKDAY(B151,3))</f>
        <v/>
      </c>
      <c r="L151" s="13">
        <f>IF(K151="","",YEAR(K151)&amp;"-W"&amp;TEXT(ISOWEEKNUM(K151),"00"))</f>
        <v/>
      </c>
      <c r="M151" s="13">
        <f>IF(A151="","",A151&amp;"|"&amp;TEXT(K151,"YYYY-MM-DD"))</f>
        <v/>
      </c>
    </row>
    <row r="152">
      <c r="A152" s="28" t="n"/>
      <c r="B152" s="30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14">
        <f>IF(B152="","",B152-WEEKDAY(B152,3))</f>
        <v/>
      </c>
      <c r="L152" s="13">
        <f>IF(K152="","",YEAR(K152)&amp;"-W"&amp;TEXT(ISOWEEKNUM(K152),"00"))</f>
        <v/>
      </c>
      <c r="M152" s="13">
        <f>IF(A152="","",A152&amp;"|"&amp;TEXT(K152,"YYYY-MM-DD"))</f>
        <v/>
      </c>
    </row>
    <row r="153">
      <c r="A153" s="28" t="n"/>
      <c r="B153" s="30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14">
        <f>IF(B153="","",B153-WEEKDAY(B153,3))</f>
        <v/>
      </c>
      <c r="L153" s="13">
        <f>IF(K153="","",YEAR(K153)&amp;"-W"&amp;TEXT(ISOWEEKNUM(K153),"00"))</f>
        <v/>
      </c>
      <c r="M153" s="13">
        <f>IF(A153="","",A153&amp;"|"&amp;TEXT(K153,"YYYY-MM-DD"))</f>
        <v/>
      </c>
    </row>
    <row r="154">
      <c r="A154" s="28" t="n"/>
      <c r="B154" s="30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14">
        <f>IF(B154="","",B154-WEEKDAY(B154,3))</f>
        <v/>
      </c>
      <c r="L154" s="13">
        <f>IF(K154="","",YEAR(K154)&amp;"-W"&amp;TEXT(ISOWEEKNUM(K154),"00"))</f>
        <v/>
      </c>
      <c r="M154" s="13">
        <f>IF(A154="","",A154&amp;"|"&amp;TEXT(K154,"YYYY-MM-DD"))</f>
        <v/>
      </c>
    </row>
    <row r="155">
      <c r="A155" s="28" t="n"/>
      <c r="B155" s="30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14">
        <f>IF(B155="","",B155-WEEKDAY(B155,3))</f>
        <v/>
      </c>
      <c r="L155" s="13">
        <f>IF(K155="","",YEAR(K155)&amp;"-W"&amp;TEXT(ISOWEEKNUM(K155),"00"))</f>
        <v/>
      </c>
      <c r="M155" s="13">
        <f>IF(A155="","",A155&amp;"|"&amp;TEXT(K155,"YYYY-MM-DD"))</f>
        <v/>
      </c>
    </row>
    <row r="156">
      <c r="A156" s="28" t="n"/>
      <c r="B156" s="30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14">
        <f>IF(B156="","",B156-WEEKDAY(B156,3))</f>
        <v/>
      </c>
      <c r="L156" s="13">
        <f>IF(K156="","",YEAR(K156)&amp;"-W"&amp;TEXT(ISOWEEKNUM(K156),"00"))</f>
        <v/>
      </c>
      <c r="M156" s="13">
        <f>IF(A156="","",A156&amp;"|"&amp;TEXT(K156,"YYYY-MM-DD"))</f>
        <v/>
      </c>
    </row>
    <row r="157">
      <c r="A157" s="28" t="n"/>
      <c r="B157" s="30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14">
        <f>IF(B157="","",B157-WEEKDAY(B157,3))</f>
        <v/>
      </c>
      <c r="L157" s="13">
        <f>IF(K157="","",YEAR(K157)&amp;"-W"&amp;TEXT(ISOWEEKNUM(K157),"00"))</f>
        <v/>
      </c>
      <c r="M157" s="13">
        <f>IF(A157="","",A157&amp;"|"&amp;TEXT(K157,"YYYY-MM-DD"))</f>
        <v/>
      </c>
    </row>
    <row r="158">
      <c r="A158" s="28" t="n"/>
      <c r="B158" s="30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14">
        <f>IF(B158="","",B158-WEEKDAY(B158,3))</f>
        <v/>
      </c>
      <c r="L158" s="13">
        <f>IF(K158="","",YEAR(K158)&amp;"-W"&amp;TEXT(ISOWEEKNUM(K158),"00"))</f>
        <v/>
      </c>
      <c r="M158" s="13">
        <f>IF(A158="","",A158&amp;"|"&amp;TEXT(K158,"YYYY-MM-DD"))</f>
        <v/>
      </c>
    </row>
    <row r="159">
      <c r="A159" s="28" t="n"/>
      <c r="B159" s="30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14">
        <f>IF(B159="","",B159-WEEKDAY(B159,3))</f>
        <v/>
      </c>
      <c r="L159" s="13">
        <f>IF(K159="","",YEAR(K159)&amp;"-W"&amp;TEXT(ISOWEEKNUM(K159),"00"))</f>
        <v/>
      </c>
      <c r="M159" s="13">
        <f>IF(A159="","",A159&amp;"|"&amp;TEXT(K159,"YYYY-MM-DD"))</f>
        <v/>
      </c>
    </row>
    <row r="160">
      <c r="A160" s="28" t="n"/>
      <c r="B160" s="30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14">
        <f>IF(B160="","",B160-WEEKDAY(B160,3))</f>
        <v/>
      </c>
      <c r="L160" s="13">
        <f>IF(K160="","",YEAR(K160)&amp;"-W"&amp;TEXT(ISOWEEKNUM(K160),"00"))</f>
        <v/>
      </c>
      <c r="M160" s="13">
        <f>IF(A160="","",A160&amp;"|"&amp;TEXT(K160,"YYYY-MM-DD"))</f>
        <v/>
      </c>
    </row>
    <row r="161">
      <c r="A161" s="28" t="n"/>
      <c r="B161" s="30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14">
        <f>IF(B161="","",B161-WEEKDAY(B161,3))</f>
        <v/>
      </c>
      <c r="L161" s="13">
        <f>IF(K161="","",YEAR(K161)&amp;"-W"&amp;TEXT(ISOWEEKNUM(K161),"00"))</f>
        <v/>
      </c>
      <c r="M161" s="13">
        <f>IF(A161="","",A161&amp;"|"&amp;TEXT(K161,"YYYY-MM-DD"))</f>
        <v/>
      </c>
    </row>
    <row r="162">
      <c r="A162" s="28" t="n"/>
      <c r="B162" s="30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14">
        <f>IF(B162="","",B162-WEEKDAY(B162,3))</f>
        <v/>
      </c>
      <c r="L162" s="13">
        <f>IF(K162="","",YEAR(K162)&amp;"-W"&amp;TEXT(ISOWEEKNUM(K162),"00"))</f>
        <v/>
      </c>
      <c r="M162" s="13">
        <f>IF(A162="","",A162&amp;"|"&amp;TEXT(K162,"YYYY-MM-DD"))</f>
        <v/>
      </c>
    </row>
    <row r="163">
      <c r="A163" s="28" t="n"/>
      <c r="B163" s="30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14">
        <f>IF(B163="","",B163-WEEKDAY(B163,3))</f>
        <v/>
      </c>
      <c r="L163" s="13">
        <f>IF(K163="","",YEAR(K163)&amp;"-W"&amp;TEXT(ISOWEEKNUM(K163),"00"))</f>
        <v/>
      </c>
      <c r="M163" s="13">
        <f>IF(A163="","",A163&amp;"|"&amp;TEXT(K163,"YYYY-MM-DD"))</f>
        <v/>
      </c>
    </row>
    <row r="164">
      <c r="A164" s="28" t="n"/>
      <c r="B164" s="30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14">
        <f>IF(B164="","",B164-WEEKDAY(B164,3))</f>
        <v/>
      </c>
      <c r="L164" s="13">
        <f>IF(K164="","",YEAR(K164)&amp;"-W"&amp;TEXT(ISOWEEKNUM(K164),"00"))</f>
        <v/>
      </c>
      <c r="M164" s="13">
        <f>IF(A164="","",A164&amp;"|"&amp;TEXT(K164,"YYYY-MM-DD"))</f>
        <v/>
      </c>
    </row>
    <row r="165">
      <c r="A165" s="28" t="n"/>
      <c r="B165" s="30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14">
        <f>IF(B165="","",B165-WEEKDAY(B165,3))</f>
        <v/>
      </c>
      <c r="L165" s="13">
        <f>IF(K165="","",YEAR(K165)&amp;"-W"&amp;TEXT(ISOWEEKNUM(K165),"00"))</f>
        <v/>
      </c>
      <c r="M165" s="13">
        <f>IF(A165="","",A165&amp;"|"&amp;TEXT(K165,"YYYY-MM-DD"))</f>
        <v/>
      </c>
    </row>
    <row r="166">
      <c r="A166" s="28" t="n"/>
      <c r="B166" s="30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14">
        <f>IF(B166="","",B166-WEEKDAY(B166,3))</f>
        <v/>
      </c>
      <c r="L166" s="13">
        <f>IF(K166="","",YEAR(K166)&amp;"-W"&amp;TEXT(ISOWEEKNUM(K166),"00"))</f>
        <v/>
      </c>
      <c r="M166" s="13">
        <f>IF(A166="","",A166&amp;"|"&amp;TEXT(K166,"YYYY-MM-DD"))</f>
        <v/>
      </c>
    </row>
    <row r="167">
      <c r="A167" s="28" t="n"/>
      <c r="B167" s="30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14">
        <f>IF(B167="","",B167-WEEKDAY(B167,3))</f>
        <v/>
      </c>
      <c r="L167" s="13">
        <f>IF(K167="","",YEAR(K167)&amp;"-W"&amp;TEXT(ISOWEEKNUM(K167),"00"))</f>
        <v/>
      </c>
      <c r="M167" s="13">
        <f>IF(A167="","",A167&amp;"|"&amp;TEXT(K167,"YYYY-MM-DD"))</f>
        <v/>
      </c>
    </row>
    <row r="168">
      <c r="A168" s="28" t="n"/>
      <c r="B168" s="30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14">
        <f>IF(B168="","",B168-WEEKDAY(B168,3))</f>
        <v/>
      </c>
      <c r="L168" s="13">
        <f>IF(K168="","",YEAR(K168)&amp;"-W"&amp;TEXT(ISOWEEKNUM(K168),"00"))</f>
        <v/>
      </c>
      <c r="M168" s="13">
        <f>IF(A168="","",A168&amp;"|"&amp;TEXT(K168,"YYYY-MM-DD"))</f>
        <v/>
      </c>
    </row>
    <row r="169">
      <c r="A169" s="28" t="n"/>
      <c r="B169" s="30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14">
        <f>IF(B169="","",B169-WEEKDAY(B169,3))</f>
        <v/>
      </c>
      <c r="L169" s="13">
        <f>IF(K169="","",YEAR(K169)&amp;"-W"&amp;TEXT(ISOWEEKNUM(K169),"00"))</f>
        <v/>
      </c>
      <c r="M169" s="13">
        <f>IF(A169="","",A169&amp;"|"&amp;TEXT(K169,"YYYY-MM-DD"))</f>
        <v/>
      </c>
    </row>
    <row r="170">
      <c r="A170" s="28" t="n"/>
      <c r="B170" s="30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14">
        <f>IF(B170="","",B170-WEEKDAY(B170,3))</f>
        <v/>
      </c>
      <c r="L170" s="13">
        <f>IF(K170="","",YEAR(K170)&amp;"-W"&amp;TEXT(ISOWEEKNUM(K170),"00"))</f>
        <v/>
      </c>
      <c r="M170" s="13">
        <f>IF(A170="","",A170&amp;"|"&amp;TEXT(K170,"YYYY-MM-DD"))</f>
        <v/>
      </c>
    </row>
    <row r="171">
      <c r="A171" s="28" t="n"/>
      <c r="B171" s="30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14">
        <f>IF(B171="","",B171-WEEKDAY(B171,3))</f>
        <v/>
      </c>
      <c r="L171" s="13">
        <f>IF(K171="","",YEAR(K171)&amp;"-W"&amp;TEXT(ISOWEEKNUM(K171),"00"))</f>
        <v/>
      </c>
      <c r="M171" s="13">
        <f>IF(A171="","",A171&amp;"|"&amp;TEXT(K171,"YYYY-MM-DD"))</f>
        <v/>
      </c>
    </row>
    <row r="172">
      <c r="A172" s="28" t="n"/>
      <c r="B172" s="30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14">
        <f>IF(B172="","",B172-WEEKDAY(B172,3))</f>
        <v/>
      </c>
      <c r="L172" s="13">
        <f>IF(K172="","",YEAR(K172)&amp;"-W"&amp;TEXT(ISOWEEKNUM(K172),"00"))</f>
        <v/>
      </c>
      <c r="M172" s="13">
        <f>IF(A172="","",A172&amp;"|"&amp;TEXT(K172,"YYYY-MM-DD"))</f>
        <v/>
      </c>
    </row>
    <row r="173">
      <c r="A173" s="28" t="n"/>
      <c r="B173" s="30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14">
        <f>IF(B173="","",B173-WEEKDAY(B173,3))</f>
        <v/>
      </c>
      <c r="L173" s="13">
        <f>IF(K173="","",YEAR(K173)&amp;"-W"&amp;TEXT(ISOWEEKNUM(K173),"00"))</f>
        <v/>
      </c>
      <c r="M173" s="13">
        <f>IF(A173="","",A173&amp;"|"&amp;TEXT(K173,"YYYY-MM-DD"))</f>
        <v/>
      </c>
    </row>
    <row r="174">
      <c r="A174" s="28" t="n"/>
      <c r="B174" s="30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14">
        <f>IF(B174="","",B174-WEEKDAY(B174,3))</f>
        <v/>
      </c>
      <c r="L174" s="13">
        <f>IF(K174="","",YEAR(K174)&amp;"-W"&amp;TEXT(ISOWEEKNUM(K174),"00"))</f>
        <v/>
      </c>
      <c r="M174" s="13">
        <f>IF(A174="","",A174&amp;"|"&amp;TEXT(K174,"YYYY-MM-DD"))</f>
        <v/>
      </c>
    </row>
    <row r="175">
      <c r="A175" s="28" t="n"/>
      <c r="B175" s="30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14">
        <f>IF(B175="","",B175-WEEKDAY(B175,3))</f>
        <v/>
      </c>
      <c r="L175" s="13">
        <f>IF(K175="","",YEAR(K175)&amp;"-W"&amp;TEXT(ISOWEEKNUM(K175),"00"))</f>
        <v/>
      </c>
      <c r="M175" s="13">
        <f>IF(A175="","",A175&amp;"|"&amp;TEXT(K175,"YYYY-MM-DD"))</f>
        <v/>
      </c>
    </row>
    <row r="176">
      <c r="A176" s="28" t="n"/>
      <c r="B176" s="30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14">
        <f>IF(B176="","",B176-WEEKDAY(B176,3))</f>
        <v/>
      </c>
      <c r="L176" s="13">
        <f>IF(K176="","",YEAR(K176)&amp;"-W"&amp;TEXT(ISOWEEKNUM(K176),"00"))</f>
        <v/>
      </c>
      <c r="M176" s="13">
        <f>IF(A176="","",A176&amp;"|"&amp;TEXT(K176,"YYYY-MM-DD"))</f>
        <v/>
      </c>
    </row>
    <row r="177">
      <c r="A177" s="28" t="n"/>
      <c r="B177" s="30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14">
        <f>IF(B177="","",B177-WEEKDAY(B177,3))</f>
        <v/>
      </c>
      <c r="L177" s="13">
        <f>IF(K177="","",YEAR(K177)&amp;"-W"&amp;TEXT(ISOWEEKNUM(K177),"00"))</f>
        <v/>
      </c>
      <c r="M177" s="13">
        <f>IF(A177="","",A177&amp;"|"&amp;TEXT(K177,"YYYY-MM-DD"))</f>
        <v/>
      </c>
    </row>
    <row r="178">
      <c r="A178" s="28" t="n"/>
      <c r="B178" s="30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14">
        <f>IF(B178="","",B178-WEEKDAY(B178,3))</f>
        <v/>
      </c>
      <c r="L178" s="13">
        <f>IF(K178="","",YEAR(K178)&amp;"-W"&amp;TEXT(ISOWEEKNUM(K178),"00"))</f>
        <v/>
      </c>
      <c r="M178" s="13">
        <f>IF(A178="","",A178&amp;"|"&amp;TEXT(K178,"YYYY-MM-DD"))</f>
        <v/>
      </c>
    </row>
    <row r="179">
      <c r="A179" s="28" t="n"/>
      <c r="B179" s="30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14">
        <f>IF(B179="","",B179-WEEKDAY(B179,3))</f>
        <v/>
      </c>
      <c r="L179" s="13">
        <f>IF(K179="","",YEAR(K179)&amp;"-W"&amp;TEXT(ISOWEEKNUM(K179),"00"))</f>
        <v/>
      </c>
      <c r="M179" s="13">
        <f>IF(A179="","",A179&amp;"|"&amp;TEXT(K179,"YYYY-MM-DD"))</f>
        <v/>
      </c>
    </row>
    <row r="180">
      <c r="A180" s="28" t="n"/>
      <c r="B180" s="30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14">
        <f>IF(B180="","",B180-WEEKDAY(B180,3))</f>
        <v/>
      </c>
      <c r="L180" s="13">
        <f>IF(K180="","",YEAR(K180)&amp;"-W"&amp;TEXT(ISOWEEKNUM(K180),"00"))</f>
        <v/>
      </c>
      <c r="M180" s="13">
        <f>IF(A180="","",A180&amp;"|"&amp;TEXT(K180,"YYYY-MM-DD"))</f>
        <v/>
      </c>
    </row>
    <row r="181">
      <c r="A181" s="28" t="n"/>
      <c r="B181" s="30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14">
        <f>IF(B181="","",B181-WEEKDAY(B181,3))</f>
        <v/>
      </c>
      <c r="L181" s="13">
        <f>IF(K181="","",YEAR(K181)&amp;"-W"&amp;TEXT(ISOWEEKNUM(K181),"00"))</f>
        <v/>
      </c>
      <c r="M181" s="13">
        <f>IF(A181="","",A181&amp;"|"&amp;TEXT(K181,"YYYY-MM-DD"))</f>
        <v/>
      </c>
    </row>
    <row r="182">
      <c r="A182" s="28" t="n"/>
      <c r="B182" s="30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14">
        <f>IF(B182="","",B182-WEEKDAY(B182,3))</f>
        <v/>
      </c>
      <c r="L182" s="13">
        <f>IF(K182="","",YEAR(K182)&amp;"-W"&amp;TEXT(ISOWEEKNUM(K182),"00"))</f>
        <v/>
      </c>
      <c r="M182" s="13">
        <f>IF(A182="","",A182&amp;"|"&amp;TEXT(K182,"YYYY-MM-DD"))</f>
        <v/>
      </c>
    </row>
    <row r="183">
      <c r="A183" s="28" t="n"/>
      <c r="B183" s="30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14">
        <f>IF(B183="","",B183-WEEKDAY(B183,3))</f>
        <v/>
      </c>
      <c r="L183" s="13">
        <f>IF(K183="","",YEAR(K183)&amp;"-W"&amp;TEXT(ISOWEEKNUM(K183),"00"))</f>
        <v/>
      </c>
      <c r="M183" s="13">
        <f>IF(A183="","",A183&amp;"|"&amp;TEXT(K183,"YYYY-MM-DD"))</f>
        <v/>
      </c>
    </row>
    <row r="184">
      <c r="A184" s="28" t="n"/>
      <c r="B184" s="30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14">
        <f>IF(B184="","",B184-WEEKDAY(B184,3))</f>
        <v/>
      </c>
      <c r="L184" s="13">
        <f>IF(K184="","",YEAR(K184)&amp;"-W"&amp;TEXT(ISOWEEKNUM(K184),"00"))</f>
        <v/>
      </c>
      <c r="M184" s="13">
        <f>IF(A184="","",A184&amp;"|"&amp;TEXT(K184,"YYYY-MM-DD"))</f>
        <v/>
      </c>
    </row>
    <row r="185">
      <c r="A185" s="28" t="n"/>
      <c r="B185" s="30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14">
        <f>IF(B185="","",B185-WEEKDAY(B185,3))</f>
        <v/>
      </c>
      <c r="L185" s="13">
        <f>IF(K185="","",YEAR(K185)&amp;"-W"&amp;TEXT(ISOWEEKNUM(K185),"00"))</f>
        <v/>
      </c>
      <c r="M185" s="13">
        <f>IF(A185="","",A185&amp;"|"&amp;TEXT(K185,"YYYY-MM-DD"))</f>
        <v/>
      </c>
    </row>
    <row r="186">
      <c r="A186" s="28" t="n"/>
      <c r="B186" s="30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14">
        <f>IF(B186="","",B186-WEEKDAY(B186,3))</f>
        <v/>
      </c>
      <c r="L186" s="13">
        <f>IF(K186="","",YEAR(K186)&amp;"-W"&amp;TEXT(ISOWEEKNUM(K186),"00"))</f>
        <v/>
      </c>
      <c r="M186" s="13">
        <f>IF(A186="","",A186&amp;"|"&amp;TEXT(K186,"YYYY-MM-DD"))</f>
        <v/>
      </c>
    </row>
    <row r="187">
      <c r="A187" s="28" t="n"/>
      <c r="B187" s="30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14">
        <f>IF(B187="","",B187-WEEKDAY(B187,3))</f>
        <v/>
      </c>
      <c r="L187" s="13">
        <f>IF(K187="","",YEAR(K187)&amp;"-W"&amp;TEXT(ISOWEEKNUM(K187),"00"))</f>
        <v/>
      </c>
      <c r="M187" s="13">
        <f>IF(A187="","",A187&amp;"|"&amp;TEXT(K187,"YYYY-MM-DD"))</f>
        <v/>
      </c>
    </row>
    <row r="188">
      <c r="A188" s="28" t="n"/>
      <c r="B188" s="30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14">
        <f>IF(B188="","",B188-WEEKDAY(B188,3))</f>
        <v/>
      </c>
      <c r="L188" s="13">
        <f>IF(K188="","",YEAR(K188)&amp;"-W"&amp;TEXT(ISOWEEKNUM(K188),"00"))</f>
        <v/>
      </c>
      <c r="M188" s="13">
        <f>IF(A188="","",A188&amp;"|"&amp;TEXT(K188,"YYYY-MM-DD"))</f>
        <v/>
      </c>
    </row>
    <row r="189">
      <c r="A189" s="28" t="n"/>
      <c r="B189" s="30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14">
        <f>IF(B189="","",B189-WEEKDAY(B189,3))</f>
        <v/>
      </c>
      <c r="L189" s="13">
        <f>IF(K189="","",YEAR(K189)&amp;"-W"&amp;TEXT(ISOWEEKNUM(K189),"00"))</f>
        <v/>
      </c>
      <c r="M189" s="13">
        <f>IF(A189="","",A189&amp;"|"&amp;TEXT(K189,"YYYY-MM-DD"))</f>
        <v/>
      </c>
    </row>
    <row r="190">
      <c r="A190" s="28" t="n"/>
      <c r="B190" s="30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14">
        <f>IF(B190="","",B190-WEEKDAY(B190,3))</f>
        <v/>
      </c>
      <c r="L190" s="13">
        <f>IF(K190="","",YEAR(K190)&amp;"-W"&amp;TEXT(ISOWEEKNUM(K190),"00"))</f>
        <v/>
      </c>
      <c r="M190" s="13">
        <f>IF(A190="","",A190&amp;"|"&amp;TEXT(K190,"YYYY-MM-DD"))</f>
        <v/>
      </c>
    </row>
    <row r="191">
      <c r="A191" s="28" t="n"/>
      <c r="B191" s="30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14">
        <f>IF(B191="","",B191-WEEKDAY(B191,3))</f>
        <v/>
      </c>
      <c r="L191" s="13">
        <f>IF(K191="","",YEAR(K191)&amp;"-W"&amp;TEXT(ISOWEEKNUM(K191),"00"))</f>
        <v/>
      </c>
      <c r="M191" s="13">
        <f>IF(A191="","",A191&amp;"|"&amp;TEXT(K191,"YYYY-MM-DD"))</f>
        <v/>
      </c>
    </row>
    <row r="192">
      <c r="A192" s="28" t="n"/>
      <c r="B192" s="30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14">
        <f>IF(B192="","",B192-WEEKDAY(B192,3))</f>
        <v/>
      </c>
      <c r="L192" s="13">
        <f>IF(K192="","",YEAR(K192)&amp;"-W"&amp;TEXT(ISOWEEKNUM(K192),"00"))</f>
        <v/>
      </c>
      <c r="M192" s="13">
        <f>IF(A192="","",A192&amp;"|"&amp;TEXT(K192,"YYYY-MM-DD"))</f>
        <v/>
      </c>
    </row>
    <row r="193">
      <c r="A193" s="28" t="n"/>
      <c r="B193" s="30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14">
        <f>IF(B193="","",B193-WEEKDAY(B193,3))</f>
        <v/>
      </c>
      <c r="L193" s="13">
        <f>IF(K193="","",YEAR(K193)&amp;"-W"&amp;TEXT(ISOWEEKNUM(K193),"00"))</f>
        <v/>
      </c>
      <c r="M193" s="13">
        <f>IF(A193="","",A193&amp;"|"&amp;TEXT(K193,"YYYY-MM-DD"))</f>
        <v/>
      </c>
    </row>
    <row r="194">
      <c r="A194" s="28" t="n"/>
      <c r="B194" s="30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14">
        <f>IF(B194="","",B194-WEEKDAY(B194,3))</f>
        <v/>
      </c>
      <c r="L194" s="13">
        <f>IF(K194="","",YEAR(K194)&amp;"-W"&amp;TEXT(ISOWEEKNUM(K194),"00"))</f>
        <v/>
      </c>
      <c r="M194" s="13">
        <f>IF(A194="","",A194&amp;"|"&amp;TEXT(K194,"YYYY-MM-DD"))</f>
        <v/>
      </c>
    </row>
    <row r="195">
      <c r="A195" s="28" t="n"/>
      <c r="B195" s="30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14">
        <f>IF(B195="","",B195-WEEKDAY(B195,3))</f>
        <v/>
      </c>
      <c r="L195" s="13">
        <f>IF(K195="","",YEAR(K195)&amp;"-W"&amp;TEXT(ISOWEEKNUM(K195),"00"))</f>
        <v/>
      </c>
      <c r="M195" s="13">
        <f>IF(A195="","",A195&amp;"|"&amp;TEXT(K195,"YYYY-MM-DD"))</f>
        <v/>
      </c>
    </row>
    <row r="196">
      <c r="A196" s="28" t="n"/>
      <c r="B196" s="30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14">
        <f>IF(B196="","",B196-WEEKDAY(B196,3))</f>
        <v/>
      </c>
      <c r="L196" s="13">
        <f>IF(K196="","",YEAR(K196)&amp;"-W"&amp;TEXT(ISOWEEKNUM(K196),"00"))</f>
        <v/>
      </c>
      <c r="M196" s="13">
        <f>IF(A196="","",A196&amp;"|"&amp;TEXT(K196,"YYYY-MM-DD"))</f>
        <v/>
      </c>
    </row>
    <row r="197">
      <c r="A197" s="28" t="n"/>
      <c r="B197" s="30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14">
        <f>IF(B197="","",B197-WEEKDAY(B197,3))</f>
        <v/>
      </c>
      <c r="L197" s="13">
        <f>IF(K197="","",YEAR(K197)&amp;"-W"&amp;TEXT(ISOWEEKNUM(K197),"00"))</f>
        <v/>
      </c>
      <c r="M197" s="13">
        <f>IF(A197="","",A197&amp;"|"&amp;TEXT(K197,"YYYY-MM-DD"))</f>
        <v/>
      </c>
    </row>
    <row r="198">
      <c r="A198" s="28" t="n"/>
      <c r="B198" s="30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14">
        <f>IF(B198="","",B198-WEEKDAY(B198,3))</f>
        <v/>
      </c>
      <c r="L198" s="13">
        <f>IF(K198="","",YEAR(K198)&amp;"-W"&amp;TEXT(ISOWEEKNUM(K198),"00"))</f>
        <v/>
      </c>
      <c r="M198" s="13">
        <f>IF(A198="","",A198&amp;"|"&amp;TEXT(K198,"YYYY-MM-DD"))</f>
        <v/>
      </c>
    </row>
    <row r="199">
      <c r="A199" s="28" t="n"/>
      <c r="B199" s="30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14">
        <f>IF(B199="","",B199-WEEKDAY(B199,3))</f>
        <v/>
      </c>
      <c r="L199" s="13">
        <f>IF(K199="","",YEAR(K199)&amp;"-W"&amp;TEXT(ISOWEEKNUM(K199),"00"))</f>
        <v/>
      </c>
      <c r="M199" s="13">
        <f>IF(A199="","",A199&amp;"|"&amp;TEXT(K199,"YYYY-MM-DD"))</f>
        <v/>
      </c>
    </row>
    <row r="200">
      <c r="A200" s="28" t="n"/>
      <c r="B200" s="30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14">
        <f>IF(B200="","",B200-WEEKDAY(B200,3))</f>
        <v/>
      </c>
      <c r="L200" s="13">
        <f>IF(K200="","",YEAR(K200)&amp;"-W"&amp;TEXT(ISOWEEKNUM(K200),"00"))</f>
        <v/>
      </c>
      <c r="M200" s="13">
        <f>IF(A200="","",A200&amp;"|"&amp;TEXT(K200,"YYYY-MM-DD"))</f>
        <v/>
      </c>
    </row>
  </sheetData>
  <dataValidations count="5">
    <dataValidation sqref="C2:C200" showDropDown="0" showInputMessage="1" showErrorMessage="1" allowBlank="1" errorTitle="Valeur hors liste" error="Choisis une valeur du menu." promptTitle="Liste" prompt="Thème" type="list">
      <formula1>=liste_theme_seance</formula1>
    </dataValidation>
    <dataValidation sqref="F2:F200" showDropDown="0" showInputMessage="1" showErrorMessage="1" allowBlank="1" errorTitle="Valeur hors liste" error="Choisis une valeur du menu." promptTitle="Liste" prompt="Séance faite ?" type="list">
      <formula1>=liste_faite_seance</formula1>
    </dataValidation>
    <dataValidation sqref="G2:G200" showDropDown="0" showInputMessage="1" showErrorMessage="1" allowBlank="1" errorTitle="Valeur hors liste" error="Choisis une valeur du menu." promptTitle="Liste" prompt="Type de semaine" type="list">
      <formula1>=liste_type_semaine</formula1>
    </dataValidation>
    <dataValidation sqref="H2:H200" showDropDown="0" showInputMessage="1" showErrorMessage="1" allowBlank="1" errorTitle="Valeur hors liste" error="Choisis une valeur du menu." promptTitle="Liste" prompt="Qualité" type="list">
      <formula1>=liste_qualite</formula1>
    </dataValidation>
    <dataValidation sqref="E2:E20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3D8FFF"/>
    <outlinePr summaryBelow="1" summaryRight="1"/>
    <pageSetUpPr fitToPage="1"/>
  </sheetPr>
  <dimension ref="A1:R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0" customWidth="1" min="11" max="11"/>
    <col width="14" customWidth="1" min="12" max="12"/>
    <col width="18" customWidth="1" min="13" max="13"/>
    <col width="5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32" customHeight="1">
      <c r="A1" s="31" t="inlineStr">
        <is>
          <t>CHARGE — 1 ligne = 1 nageur × 1 semaine. Ne rien saisir. Deload = 3 charges + 1 allégée (5–6 sem si 1–2 séances/sem). Retest A 4–5 sem, B 6–8 sem, jamais pendant deload ni &lt; 3 sem avant l’objectif.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2" customHeight="1">
      <c r="A2" s="12" t="inlineStr">
        <is>
          <t>id_nageur</t>
        </is>
      </c>
      <c r="B2" s="12" t="inlineStr">
        <is>
          <t>lundi</t>
        </is>
      </c>
      <c r="C2" s="12" t="inlineStr">
        <is>
          <t>nb_seances</t>
        </is>
      </c>
      <c r="D2" s="12" t="inlineStr">
        <is>
          <t>volume_m</t>
        </is>
      </c>
      <c r="E2" s="12" t="inlineStr">
        <is>
          <t>rpe_moy</t>
        </is>
      </c>
      <c r="F2" s="12" t="inlineStr">
        <is>
          <t>delta_vol</t>
        </is>
      </c>
      <c r="G2" s="12" t="inlineStr">
        <is>
          <t>type</t>
        </is>
      </c>
      <c r="H2" s="12" t="inlineStr">
        <is>
          <t>sem_deload</t>
        </is>
      </c>
      <c r="I2" s="12" t="inlineStr">
        <is>
          <t>sem_T100</t>
        </is>
      </c>
      <c r="J2" s="12" t="inlineStr">
        <is>
          <t>sem_T400</t>
        </is>
      </c>
      <c r="K2" s="12" t="inlineStr">
        <is>
          <t>sem_obj</t>
        </is>
      </c>
      <c r="L2" s="12" t="inlineStr">
        <is>
          <t>alerte_deload</t>
        </is>
      </c>
      <c r="M2" s="12" t="inlineStr">
        <is>
          <t>alerte_test</t>
        </is>
      </c>
      <c r="N2" s="12" t="inlineStr">
        <is>
          <t>consigne</t>
        </is>
      </c>
    </row>
    <row r="3" ht="28" customHeight="1">
      <c r="A3" s="32">
        <f>IFERROR(SORT(UNIQUE(FILTER(HSTACK(tblSeances[id_nageur],tblSeances[lundi]),(tblSeances[id_nageur]&lt;&gt;"")*(tblSeances[lundi]&lt;&gt;""))),2,-1),"")</f>
        <v/>
      </c>
      <c r="B3" s="33" t="n"/>
      <c r="C3" s="13">
        <f>IF($A3="","",COUNTIFS(tblSeances[id_nageur],$A3,tblSeances[lundi],$B3,tblSeances[faite],"oui"))</f>
        <v/>
      </c>
      <c r="D3" s="13">
        <f>IF($A3="","",SUMIFS(tblSeances[volume_m],tblSeances[id_nageur],$A3,tblSeances[lundi],$B3,tblSeances[faite],"oui"))</f>
        <v/>
      </c>
      <c r="E3" s="16">
        <f>IF($A3="","",IFERROR(AVERAGEIFS(tblSeances[rpe],tblSeances[id_nageur],$A3,tblSeances[lundi],$B3,tblSeances[faite],"oui"),""))</f>
        <v/>
      </c>
      <c r="F3" s="17">
        <f>IF(OR($A3="",O3="",O3=0),"", (D3-O3)/O3)</f>
        <v/>
      </c>
      <c r="G3" s="13">
        <f>IF($A3="","",IFERROR(INDEX(FILTER(tblSeances[type_semaine],(tblSeances[id_nageur]=$A3)*(tblSeances[lundi]=$B3)*(tblSeances[type_semaine]&lt;&gt;"")),1),IF(AND(O3&gt;0,D3&lt;=0.7*O3),"allegee","normale")))</f>
        <v/>
      </c>
      <c r="H3" s="16">
        <f>IF($A3="","",IFERROR(LET(d,MAXIFS(tblSeances[lundi],tblSeances[id_nageur],$A3,tblSeances[type_semaine],"allegee"),IF(d=0,"",($B3-d)/7)),""))</f>
        <v/>
      </c>
      <c r="I3" s="16">
        <f>IF($A3="","",IFERROR(LET(d,MAXIFS(tblTests[date],tblTests[id_nageur],$A3,tblTests[protocole],"T100",tblTests[valide],"oui"),IF(d=0,"",($B3-d)/7)),""))</f>
        <v/>
      </c>
      <c r="J3" s="16">
        <f>IF($A3="","",IFERROR(LET(d,MAXIFS(tblTests[date],tblTests[id_nageur],$A3,tblTests[protocole],"T400",tblTests[valide],"oui"),IF(d=0,"",($B3-d)/7)),""))</f>
        <v/>
      </c>
      <c r="K3" s="16">
        <f>IF($A3="","",IFERROR((XLOOKUP($A3,tblObjectifs[cle_dashboard],tblObjectifs[date_objectif])-$B3)/7,""))</f>
        <v/>
      </c>
      <c r="L3" s="13">
        <f>IF($A3="","",IFS(C3&lt;=1,"",AND(K3&lt;&gt;"",K3&lt;=3),"affutage",G3="allegee","en_cours",AND(H3&lt;&gt;"",H3&gt;=IF(R3&lt;=2,5,3),C3&gt;=IF(R3&lt;=2,2,3)),"due",AND(F3&lt;&gt;"",F3&gt;0.1),"volume_+10%",AND(E3&lt;&gt;"",E3&gt;=8,P3&lt;&gt;"",P3&gt;=8),"rpe_2sem",Q3&gt;=2,"trop_casse",TRUE,""))</f>
        <v/>
      </c>
      <c r="M3" s="13">
        <f>IF($A3="","",IFS(AND(K3&lt;&gt;"",K3&lt;=3),"pas_maintenant",G3="allegee","attendre_fin_deload",AND(E3&lt;&gt;"",E3&gt;=8),"pas_maintenant",AND(I3&lt;&gt;"",I3&gt;=5,J3&lt;&gt;"",J3&gt;=7),"tester_A_et_B",AND(I3&lt;&gt;"",I3&gt;=5),"tester_A",AND(J3&lt;&gt;"",J3&gt;=7),"tester_B",TRUE,""))</f>
        <v/>
      </c>
      <c r="N3" s="15">
        <f>IF($A3="","",TEXTJOIN(" · ",TRUE,IF(L3="due","Deload cette semaine (−30% vol, RPE≤6, pas de max)",""),IF(L3="en_cours","Deload en cours — garder le leger",""),IF(L3="volume_+10%","Volume +10% vs S-1 — alleger S+1",""),IF(L3="rpe_2sem","RPE eleve 2 sem — alleger maintenant",""),IF(L3="trop_casse","Trop de seances cassees — recup cette semaine",""),IF(L3="affutage","Affutage : plus de max, allure de course",""),IF(M3="tester_A","Retest A (T50+T100) apres une seance facile",""),IF(M3="tester_B","Retest B (T200+T400) a frais",""),IF(M3="tester_A_et_B","Retest A cette sem, B la suivante",""),IF(M3="attendre_fin_deload","Retest apres le deload, pas pendant",""),IF(M3="pas_maintenant","Pas de test a fond",""),IF(AND(L3="",M3=""),"Charge OK — semaine normale","")))</f>
        <v/>
      </c>
      <c r="O3" s="13">
        <f>IF($A3="","",SUMIFS(tblSeances[volume_m],tblSeances[id_nageur],$A3,tblSeances[lundi],$B3-7,tblSeances[faite],"oui"))</f>
        <v/>
      </c>
      <c r="P3" s="16">
        <f>IF($A3="","",IFERROR(AVERAGEIFS(tblSeances[rpe],tblSeances[id_nageur],$A3,tblSeances[lundi],$B3-7,tblSeances[faite],"oui"),""))</f>
        <v/>
      </c>
      <c r="Q3" s="13">
        <f>IF($A3="","",COUNTIFS(tblSeances[id_nageur],$A3,tblSeances[lundi],$B3,tblSeances[qualite],"casse"))</f>
        <v/>
      </c>
      <c r="R3" s="13">
        <f>IF($A3="","",IFERROR(INDEX(tblNageurs[seances_sem],MATCH($A3,tblNageurs[id],0)),3))</f>
        <v/>
      </c>
    </row>
    <row r="4" ht="28" customHeight="1">
      <c r="A4" s="34" t="n"/>
      <c r="B4" s="35" t="n"/>
      <c r="C4" s="20">
        <f>IF($A4="","",COUNTIFS(tblSeances[id_nageur],$A4,tblSeances[lundi],$B4,tblSeances[faite],"oui"))</f>
        <v/>
      </c>
      <c r="D4" s="20">
        <f>IF($A4="","",SUMIFS(tblSeances[volume_m],tblSeances[id_nageur],$A4,tblSeances[lundi],$B4,tblSeances[faite],"oui"))</f>
        <v/>
      </c>
      <c r="E4" s="23">
        <f>IF($A4="","",IFERROR(AVERAGEIFS(tblSeances[rpe],tblSeances[id_nageur],$A4,tblSeances[lundi],$B4,tblSeances[faite],"oui"),""))</f>
        <v/>
      </c>
      <c r="F4" s="24">
        <f>IF(OR($A4="",O4="",O4=0),"", (D4-O4)/O4)</f>
        <v/>
      </c>
      <c r="G4" s="20">
        <f>IF($A4="","",IFERROR(INDEX(FILTER(tblSeances[type_semaine],(tblSeances[id_nageur]=$A4)*(tblSeances[lundi]=$B4)*(tblSeances[type_semaine]&lt;&gt;"")),1),IF(AND(O4&gt;0,D4&lt;=0.7*O4),"allegee","normale")))</f>
        <v/>
      </c>
      <c r="H4" s="23">
        <f>IF($A4="","",IFERROR(LET(d,MAXIFS(tblSeances[lundi],tblSeances[id_nageur],$A4,tblSeances[type_semaine],"allegee"),IF(d=0,"",($B4-d)/7)),""))</f>
        <v/>
      </c>
      <c r="I4" s="23">
        <f>IF($A4="","",IFERROR(LET(d,MAXIFS(tblTests[date],tblTests[id_nageur],$A4,tblTests[protocole],"T100",tblTests[valide],"oui"),IF(d=0,"",($B4-d)/7)),""))</f>
        <v/>
      </c>
      <c r="J4" s="23">
        <f>IF($A4="","",IFERROR(LET(d,MAXIFS(tblTests[date],tblTests[id_nageur],$A4,tblTests[protocole],"T400",tblTests[valide],"oui"),IF(d=0,"",($B4-d)/7)),""))</f>
        <v/>
      </c>
      <c r="K4" s="23">
        <f>IF($A4="","",IFERROR((XLOOKUP($A4,tblObjectifs[cle_dashboard],tblObjectifs[date_objectif])-$B4)/7,""))</f>
        <v/>
      </c>
      <c r="L4" s="20">
        <f>IF($A4="","",IFS(C4&lt;=1,"",AND(K4&lt;&gt;"",K4&lt;=3),"affutage",G4="allegee","en_cours",AND(H4&lt;&gt;"",H4&gt;=IF(R4&lt;=2,5,3),C4&gt;=IF(R4&lt;=2,2,3)),"due",AND(F4&lt;&gt;"",F4&gt;0.1),"volume_+10%",AND(E4&lt;&gt;"",E4&gt;=8,P4&lt;&gt;"",P4&gt;=8),"rpe_2sem",Q4&gt;=2,"trop_casse",TRUE,""))</f>
        <v/>
      </c>
      <c r="M4" s="20">
        <f>IF($A4="","",IFS(AND(K4&lt;&gt;"",K4&lt;=3),"pas_maintenant",G4="allegee","attendre_fin_deload",AND(E4&lt;&gt;"",E4&gt;=8),"pas_maintenant",AND(I4&lt;&gt;"",I4&gt;=5,J4&lt;&gt;"",J4&gt;=7),"tester_A_et_B",AND(I4&lt;&gt;"",I4&gt;=5),"tester_A",AND(J4&lt;&gt;"",J4&gt;=7),"tester_B",TRUE,""))</f>
        <v/>
      </c>
      <c r="N4" s="22">
        <f>IF($A4="","",TEXTJOIN(" · ",TRUE,IF(L4="due","Deload cette semaine (−30% vol, RPE≤6, pas de max)",""),IF(L4="en_cours","Deload en cours — garder le leger",""),IF(L4="volume_+10%","Volume +10% vs S-1 — alleger S+1",""),IF(L4="rpe_2sem","RPE eleve 2 sem — alleger maintenant",""),IF(L4="trop_casse","Trop de seances cassees — recup cette semaine",""),IF(L4="affutage","Affutage : plus de max, allure de course",""),IF(M4="tester_A","Retest A (T50+T100) apres une seance facile",""),IF(M4="tester_B","Retest B (T200+T400) a frais",""),IF(M4="tester_A_et_B","Retest A cette sem, B la suivante",""),IF(M4="attendre_fin_deload","Retest apres le deload, pas pendant",""),IF(M4="pas_maintenant","Pas de test a fond",""),IF(AND(L4="",M4=""),"Charge OK — semaine normale","")))</f>
        <v/>
      </c>
      <c r="O4" s="20">
        <f>IF($A4="","",SUMIFS(tblSeances[volume_m],tblSeances[id_nageur],$A4,tblSeances[lundi],$B4-7,tblSeances[faite],"oui"))</f>
        <v/>
      </c>
      <c r="P4" s="23">
        <f>IF($A4="","",IFERROR(AVERAGEIFS(tblSeances[rpe],tblSeances[id_nageur],$A4,tblSeances[lundi],$B4-7,tblSeances[faite],"oui"),""))</f>
        <v/>
      </c>
      <c r="Q4" s="20">
        <f>IF($A4="","",COUNTIFS(tblSeances[id_nageur],$A4,tblSeances[lundi],$B4,tblSeances[qualite],"casse"))</f>
        <v/>
      </c>
      <c r="R4" s="20">
        <f>IF($A4="","",IFERROR(INDEX(tblNageurs[seances_sem],MATCH($A4,tblNageurs[id],0)),3))</f>
        <v/>
      </c>
    </row>
    <row r="5" ht="28" customHeight="1">
      <c r="A5" s="34" t="n"/>
      <c r="B5" s="35" t="n"/>
      <c r="C5" s="13">
        <f>IF($A5="","",COUNTIFS(tblSeances[id_nageur],$A5,tblSeances[lundi],$B5,tblSeances[faite],"oui"))</f>
        <v/>
      </c>
      <c r="D5" s="13">
        <f>IF($A5="","",SUMIFS(tblSeances[volume_m],tblSeances[id_nageur],$A5,tblSeances[lundi],$B5,tblSeances[faite],"oui"))</f>
        <v/>
      </c>
      <c r="E5" s="16">
        <f>IF($A5="","",IFERROR(AVERAGEIFS(tblSeances[rpe],tblSeances[id_nageur],$A5,tblSeances[lundi],$B5,tblSeances[faite],"oui"),""))</f>
        <v/>
      </c>
      <c r="F5" s="17">
        <f>IF(OR($A5="",O5="",O5=0),"", (D5-O5)/O5)</f>
        <v/>
      </c>
      <c r="G5" s="13">
        <f>IF($A5="","",IFERROR(INDEX(FILTER(tblSeances[type_semaine],(tblSeances[id_nageur]=$A5)*(tblSeances[lundi]=$B5)*(tblSeances[type_semaine]&lt;&gt;"")),1),IF(AND(O5&gt;0,D5&lt;=0.7*O5),"allegee","normale")))</f>
        <v/>
      </c>
      <c r="H5" s="16">
        <f>IF($A5="","",IFERROR(LET(d,MAXIFS(tblSeances[lundi],tblSeances[id_nageur],$A5,tblSeances[type_semaine],"allegee"),IF(d=0,"",($B5-d)/7)),""))</f>
        <v/>
      </c>
      <c r="I5" s="16">
        <f>IF($A5="","",IFERROR(LET(d,MAXIFS(tblTests[date],tblTests[id_nageur],$A5,tblTests[protocole],"T100",tblTests[valide],"oui"),IF(d=0,"",($B5-d)/7)),""))</f>
        <v/>
      </c>
      <c r="J5" s="16">
        <f>IF($A5="","",IFERROR(LET(d,MAXIFS(tblTests[date],tblTests[id_nageur],$A5,tblTests[protocole],"T400",tblTests[valide],"oui"),IF(d=0,"",($B5-d)/7)),""))</f>
        <v/>
      </c>
      <c r="K5" s="16">
        <f>IF($A5="","",IFERROR((XLOOKUP($A5,tblObjectifs[cle_dashboard],tblObjectifs[date_objectif])-$B5)/7,""))</f>
        <v/>
      </c>
      <c r="L5" s="13">
        <f>IF($A5="","",IFS(C5&lt;=1,"",AND(K5&lt;&gt;"",K5&lt;=3),"affutage",G5="allegee","en_cours",AND(H5&lt;&gt;"",H5&gt;=IF(R5&lt;=2,5,3),C5&gt;=IF(R5&lt;=2,2,3)),"due",AND(F5&lt;&gt;"",F5&gt;0.1),"volume_+10%",AND(E5&lt;&gt;"",E5&gt;=8,P5&lt;&gt;"",P5&gt;=8),"rpe_2sem",Q5&gt;=2,"trop_casse",TRUE,""))</f>
        <v/>
      </c>
      <c r="M5" s="13">
        <f>IF($A5="","",IFS(AND(K5&lt;&gt;"",K5&lt;=3),"pas_maintenant",G5="allegee","attendre_fin_deload",AND(E5&lt;&gt;"",E5&gt;=8),"pas_maintenant",AND(I5&lt;&gt;"",I5&gt;=5,J5&lt;&gt;"",J5&gt;=7),"tester_A_et_B",AND(I5&lt;&gt;"",I5&gt;=5),"tester_A",AND(J5&lt;&gt;"",J5&gt;=7),"tester_B",TRUE,""))</f>
        <v/>
      </c>
      <c r="N5" s="15">
        <f>IF($A5="","",TEXTJOIN(" · ",TRUE,IF(L5="due","Deload cette semaine (−30% vol, RPE≤6, pas de max)",""),IF(L5="en_cours","Deload en cours — garder le leger",""),IF(L5="volume_+10%","Volume +10% vs S-1 — alleger S+1",""),IF(L5="rpe_2sem","RPE eleve 2 sem — alleger maintenant",""),IF(L5="trop_casse","Trop de seances cassees — recup cette semaine",""),IF(L5="affutage","Affutage : plus de max, allure de course",""),IF(M5="tester_A","Retest A (T50+T100) apres une seance facile",""),IF(M5="tester_B","Retest B (T200+T400) a frais",""),IF(M5="tester_A_et_B","Retest A cette sem, B la suivante",""),IF(M5="attendre_fin_deload","Retest apres le deload, pas pendant",""),IF(M5="pas_maintenant","Pas de test a fond",""),IF(AND(L5="",M5=""),"Charge OK — semaine normale","")))</f>
        <v/>
      </c>
      <c r="O5" s="13">
        <f>IF($A5="","",SUMIFS(tblSeances[volume_m],tblSeances[id_nageur],$A5,tblSeances[lundi],$B5-7,tblSeances[faite],"oui"))</f>
        <v/>
      </c>
      <c r="P5" s="16">
        <f>IF($A5="","",IFERROR(AVERAGEIFS(tblSeances[rpe],tblSeances[id_nageur],$A5,tblSeances[lundi],$B5-7,tblSeances[faite],"oui"),""))</f>
        <v/>
      </c>
      <c r="Q5" s="13">
        <f>IF($A5="","",COUNTIFS(tblSeances[id_nageur],$A5,tblSeances[lundi],$B5,tblSeances[qualite],"casse"))</f>
        <v/>
      </c>
      <c r="R5" s="13">
        <f>IF($A5="","",IFERROR(INDEX(tblNageurs[seances_sem],MATCH($A5,tblNageurs[id],0)),3))</f>
        <v/>
      </c>
    </row>
    <row r="6" ht="28" customHeight="1">
      <c r="A6" s="34" t="n"/>
      <c r="B6" s="35" t="n"/>
      <c r="C6" s="20">
        <f>IF($A6="","",COUNTIFS(tblSeances[id_nageur],$A6,tblSeances[lundi],$B6,tblSeances[faite],"oui"))</f>
        <v/>
      </c>
      <c r="D6" s="20">
        <f>IF($A6="","",SUMIFS(tblSeances[volume_m],tblSeances[id_nageur],$A6,tblSeances[lundi],$B6,tblSeances[faite],"oui"))</f>
        <v/>
      </c>
      <c r="E6" s="23">
        <f>IF($A6="","",IFERROR(AVERAGEIFS(tblSeances[rpe],tblSeances[id_nageur],$A6,tblSeances[lundi],$B6,tblSeances[faite],"oui"),""))</f>
        <v/>
      </c>
      <c r="F6" s="24">
        <f>IF(OR($A6="",O6="",O6=0),"", (D6-O6)/O6)</f>
        <v/>
      </c>
      <c r="G6" s="20">
        <f>IF($A6="","",IFERROR(INDEX(FILTER(tblSeances[type_semaine],(tblSeances[id_nageur]=$A6)*(tblSeances[lundi]=$B6)*(tblSeances[type_semaine]&lt;&gt;"")),1),IF(AND(O6&gt;0,D6&lt;=0.7*O6),"allegee","normale")))</f>
        <v/>
      </c>
      <c r="H6" s="23">
        <f>IF($A6="","",IFERROR(LET(d,MAXIFS(tblSeances[lundi],tblSeances[id_nageur],$A6,tblSeances[type_semaine],"allegee"),IF(d=0,"",($B6-d)/7)),""))</f>
        <v/>
      </c>
      <c r="I6" s="23">
        <f>IF($A6="","",IFERROR(LET(d,MAXIFS(tblTests[date],tblTests[id_nageur],$A6,tblTests[protocole],"T100",tblTests[valide],"oui"),IF(d=0,"",($B6-d)/7)),""))</f>
        <v/>
      </c>
      <c r="J6" s="23">
        <f>IF($A6="","",IFERROR(LET(d,MAXIFS(tblTests[date],tblTests[id_nageur],$A6,tblTests[protocole],"T400",tblTests[valide],"oui"),IF(d=0,"",($B6-d)/7)),""))</f>
        <v/>
      </c>
      <c r="K6" s="23">
        <f>IF($A6="","",IFERROR((XLOOKUP($A6,tblObjectifs[cle_dashboard],tblObjectifs[date_objectif])-$B6)/7,""))</f>
        <v/>
      </c>
      <c r="L6" s="20">
        <f>IF($A6="","",IFS(C6&lt;=1,"",AND(K6&lt;&gt;"",K6&lt;=3),"affutage",G6="allegee","en_cours",AND(H6&lt;&gt;"",H6&gt;=IF(R6&lt;=2,5,3),C6&gt;=IF(R6&lt;=2,2,3)),"due",AND(F6&lt;&gt;"",F6&gt;0.1),"volume_+10%",AND(E6&lt;&gt;"",E6&gt;=8,P6&lt;&gt;"",P6&gt;=8),"rpe_2sem",Q6&gt;=2,"trop_casse",TRUE,""))</f>
        <v/>
      </c>
      <c r="M6" s="20">
        <f>IF($A6="","",IFS(AND(K6&lt;&gt;"",K6&lt;=3),"pas_maintenant",G6="allegee","attendre_fin_deload",AND(E6&lt;&gt;"",E6&gt;=8),"pas_maintenant",AND(I6&lt;&gt;"",I6&gt;=5,J6&lt;&gt;"",J6&gt;=7),"tester_A_et_B",AND(I6&lt;&gt;"",I6&gt;=5),"tester_A",AND(J6&lt;&gt;"",J6&gt;=7),"tester_B",TRUE,""))</f>
        <v/>
      </c>
      <c r="N6" s="22">
        <f>IF($A6="","",TEXTJOIN(" · ",TRUE,IF(L6="due","Deload cette semaine (−30% vol, RPE≤6, pas de max)",""),IF(L6="en_cours","Deload en cours — garder le leger",""),IF(L6="volume_+10%","Volume +10% vs S-1 — alleger S+1",""),IF(L6="rpe_2sem","RPE eleve 2 sem — alleger maintenant",""),IF(L6="trop_casse","Trop de seances cassees — recup cette semaine",""),IF(L6="affutage","Affutage : plus de max, allure de course",""),IF(M6="tester_A","Retest A (T50+T100) apres une seance facile",""),IF(M6="tester_B","Retest B (T200+T400) a frais",""),IF(M6="tester_A_et_B","Retest A cette sem, B la suivante",""),IF(M6="attendre_fin_deload","Retest apres le deload, pas pendant",""),IF(M6="pas_maintenant","Pas de test a fond",""),IF(AND(L6="",M6=""),"Charge OK — semaine normale","")))</f>
        <v/>
      </c>
      <c r="O6" s="20">
        <f>IF($A6="","",SUMIFS(tblSeances[volume_m],tblSeances[id_nageur],$A6,tblSeances[lundi],$B6-7,tblSeances[faite],"oui"))</f>
        <v/>
      </c>
      <c r="P6" s="23">
        <f>IF($A6="","",IFERROR(AVERAGEIFS(tblSeances[rpe],tblSeances[id_nageur],$A6,tblSeances[lundi],$B6-7,tblSeances[faite],"oui"),""))</f>
        <v/>
      </c>
      <c r="Q6" s="20">
        <f>IF($A6="","",COUNTIFS(tblSeances[id_nageur],$A6,tblSeances[lundi],$B6,tblSeances[qualite],"casse"))</f>
        <v/>
      </c>
      <c r="R6" s="20">
        <f>IF($A6="","",IFERROR(INDEX(tblNageurs[seances_sem],MATCH($A6,tblNageurs[id],0)),3))</f>
        <v/>
      </c>
    </row>
    <row r="7" ht="28" customHeight="1">
      <c r="A7" s="34" t="n"/>
      <c r="B7" s="35" t="n"/>
      <c r="C7" s="13">
        <f>IF($A7="","",COUNTIFS(tblSeances[id_nageur],$A7,tblSeances[lundi],$B7,tblSeances[faite],"oui"))</f>
        <v/>
      </c>
      <c r="D7" s="13">
        <f>IF($A7="","",SUMIFS(tblSeances[volume_m],tblSeances[id_nageur],$A7,tblSeances[lundi],$B7,tblSeances[faite],"oui"))</f>
        <v/>
      </c>
      <c r="E7" s="16">
        <f>IF($A7="","",IFERROR(AVERAGEIFS(tblSeances[rpe],tblSeances[id_nageur],$A7,tblSeances[lundi],$B7,tblSeances[faite],"oui"),""))</f>
        <v/>
      </c>
      <c r="F7" s="17">
        <f>IF(OR($A7="",O7="",O7=0),"", (D7-O7)/O7)</f>
        <v/>
      </c>
      <c r="G7" s="13">
        <f>IF($A7="","",IFERROR(INDEX(FILTER(tblSeances[type_semaine],(tblSeances[id_nageur]=$A7)*(tblSeances[lundi]=$B7)*(tblSeances[type_semaine]&lt;&gt;"")),1),IF(AND(O7&gt;0,D7&lt;=0.7*O7),"allegee","normale")))</f>
        <v/>
      </c>
      <c r="H7" s="16">
        <f>IF($A7="","",IFERROR(LET(d,MAXIFS(tblSeances[lundi],tblSeances[id_nageur],$A7,tblSeances[type_semaine],"allegee"),IF(d=0,"",($B7-d)/7)),""))</f>
        <v/>
      </c>
      <c r="I7" s="16">
        <f>IF($A7="","",IFERROR(LET(d,MAXIFS(tblTests[date],tblTests[id_nageur],$A7,tblTests[protocole],"T100",tblTests[valide],"oui"),IF(d=0,"",($B7-d)/7)),""))</f>
        <v/>
      </c>
      <c r="J7" s="16">
        <f>IF($A7="","",IFERROR(LET(d,MAXIFS(tblTests[date],tblTests[id_nageur],$A7,tblTests[protocole],"T400",tblTests[valide],"oui"),IF(d=0,"",($B7-d)/7)),""))</f>
        <v/>
      </c>
      <c r="K7" s="16">
        <f>IF($A7="","",IFERROR((XLOOKUP($A7,tblObjectifs[cle_dashboard],tblObjectifs[date_objectif])-$B7)/7,""))</f>
        <v/>
      </c>
      <c r="L7" s="13">
        <f>IF($A7="","",IFS(C7&lt;=1,"",AND(K7&lt;&gt;"",K7&lt;=3),"affutage",G7="allegee","en_cours",AND(H7&lt;&gt;"",H7&gt;=IF(R7&lt;=2,5,3),C7&gt;=IF(R7&lt;=2,2,3)),"due",AND(F7&lt;&gt;"",F7&gt;0.1),"volume_+10%",AND(E7&lt;&gt;"",E7&gt;=8,P7&lt;&gt;"",P7&gt;=8),"rpe_2sem",Q7&gt;=2,"trop_casse",TRUE,""))</f>
        <v/>
      </c>
      <c r="M7" s="13">
        <f>IF($A7="","",IFS(AND(K7&lt;&gt;"",K7&lt;=3),"pas_maintenant",G7="allegee","attendre_fin_deload",AND(E7&lt;&gt;"",E7&gt;=8),"pas_maintenant",AND(I7&lt;&gt;"",I7&gt;=5,J7&lt;&gt;"",J7&gt;=7),"tester_A_et_B",AND(I7&lt;&gt;"",I7&gt;=5),"tester_A",AND(J7&lt;&gt;"",J7&gt;=7),"tester_B",TRUE,""))</f>
        <v/>
      </c>
      <c r="N7" s="15">
        <f>IF($A7="","",TEXTJOIN(" · ",TRUE,IF(L7="due","Deload cette semaine (−30% vol, RPE≤6, pas de max)",""),IF(L7="en_cours","Deload en cours — garder le leger",""),IF(L7="volume_+10%","Volume +10% vs S-1 — alleger S+1",""),IF(L7="rpe_2sem","RPE eleve 2 sem — alleger maintenant",""),IF(L7="trop_casse","Trop de seances cassees — recup cette semaine",""),IF(L7="affutage","Affutage : plus de max, allure de course",""),IF(M7="tester_A","Retest A (T50+T100) apres une seance facile",""),IF(M7="tester_B","Retest B (T200+T400) a frais",""),IF(M7="tester_A_et_B","Retest A cette sem, B la suivante",""),IF(M7="attendre_fin_deload","Retest apres le deload, pas pendant",""),IF(M7="pas_maintenant","Pas de test a fond",""),IF(AND(L7="",M7=""),"Charge OK — semaine normale","")))</f>
        <v/>
      </c>
      <c r="O7" s="13">
        <f>IF($A7="","",SUMIFS(tblSeances[volume_m],tblSeances[id_nageur],$A7,tblSeances[lundi],$B7-7,tblSeances[faite],"oui"))</f>
        <v/>
      </c>
      <c r="P7" s="16">
        <f>IF($A7="","",IFERROR(AVERAGEIFS(tblSeances[rpe],tblSeances[id_nageur],$A7,tblSeances[lundi],$B7-7,tblSeances[faite],"oui"),""))</f>
        <v/>
      </c>
      <c r="Q7" s="13">
        <f>IF($A7="","",COUNTIFS(tblSeances[id_nageur],$A7,tblSeances[lundi],$B7,tblSeances[qualite],"casse"))</f>
        <v/>
      </c>
      <c r="R7" s="13">
        <f>IF($A7="","",IFERROR(INDEX(tblNageurs[seances_sem],MATCH($A7,tblNageurs[id],0)),3))</f>
        <v/>
      </c>
    </row>
    <row r="8" ht="28" customHeight="1">
      <c r="A8" s="34" t="n"/>
      <c r="B8" s="35" t="n"/>
      <c r="C8" s="20">
        <f>IF($A8="","",COUNTIFS(tblSeances[id_nageur],$A8,tblSeances[lundi],$B8,tblSeances[faite],"oui"))</f>
        <v/>
      </c>
      <c r="D8" s="20">
        <f>IF($A8="","",SUMIFS(tblSeances[volume_m],tblSeances[id_nageur],$A8,tblSeances[lundi],$B8,tblSeances[faite],"oui"))</f>
        <v/>
      </c>
      <c r="E8" s="23">
        <f>IF($A8="","",IFERROR(AVERAGEIFS(tblSeances[rpe],tblSeances[id_nageur],$A8,tblSeances[lundi],$B8,tblSeances[faite],"oui"),""))</f>
        <v/>
      </c>
      <c r="F8" s="24">
        <f>IF(OR($A8="",O8="",O8=0),"", (D8-O8)/O8)</f>
        <v/>
      </c>
      <c r="G8" s="20">
        <f>IF($A8="","",IFERROR(INDEX(FILTER(tblSeances[type_semaine],(tblSeances[id_nageur]=$A8)*(tblSeances[lundi]=$B8)*(tblSeances[type_semaine]&lt;&gt;"")),1),IF(AND(O8&gt;0,D8&lt;=0.7*O8),"allegee","normale")))</f>
        <v/>
      </c>
      <c r="H8" s="23">
        <f>IF($A8="","",IFERROR(LET(d,MAXIFS(tblSeances[lundi],tblSeances[id_nageur],$A8,tblSeances[type_semaine],"allegee"),IF(d=0,"",($B8-d)/7)),""))</f>
        <v/>
      </c>
      <c r="I8" s="23">
        <f>IF($A8="","",IFERROR(LET(d,MAXIFS(tblTests[date],tblTests[id_nageur],$A8,tblTests[protocole],"T100",tblTests[valide],"oui"),IF(d=0,"",($B8-d)/7)),""))</f>
        <v/>
      </c>
      <c r="J8" s="23">
        <f>IF($A8="","",IFERROR(LET(d,MAXIFS(tblTests[date],tblTests[id_nageur],$A8,tblTests[protocole],"T400",tblTests[valide],"oui"),IF(d=0,"",($B8-d)/7)),""))</f>
        <v/>
      </c>
      <c r="K8" s="23">
        <f>IF($A8="","",IFERROR((XLOOKUP($A8,tblObjectifs[cle_dashboard],tblObjectifs[date_objectif])-$B8)/7,""))</f>
        <v/>
      </c>
      <c r="L8" s="20">
        <f>IF($A8="","",IFS(C8&lt;=1,"",AND(K8&lt;&gt;"",K8&lt;=3),"affutage",G8="allegee","en_cours",AND(H8&lt;&gt;"",H8&gt;=IF(R8&lt;=2,5,3),C8&gt;=IF(R8&lt;=2,2,3)),"due",AND(F8&lt;&gt;"",F8&gt;0.1),"volume_+10%",AND(E8&lt;&gt;"",E8&gt;=8,P8&lt;&gt;"",P8&gt;=8),"rpe_2sem",Q8&gt;=2,"trop_casse",TRUE,""))</f>
        <v/>
      </c>
      <c r="M8" s="20">
        <f>IF($A8="","",IFS(AND(K8&lt;&gt;"",K8&lt;=3),"pas_maintenant",G8="allegee","attendre_fin_deload",AND(E8&lt;&gt;"",E8&gt;=8),"pas_maintenant",AND(I8&lt;&gt;"",I8&gt;=5,J8&lt;&gt;"",J8&gt;=7),"tester_A_et_B",AND(I8&lt;&gt;"",I8&gt;=5),"tester_A",AND(J8&lt;&gt;"",J8&gt;=7),"tester_B",TRUE,""))</f>
        <v/>
      </c>
      <c r="N8" s="22">
        <f>IF($A8="","",TEXTJOIN(" · ",TRUE,IF(L8="due","Deload cette semaine (−30% vol, RPE≤6, pas de max)",""),IF(L8="en_cours","Deload en cours — garder le leger",""),IF(L8="volume_+10%","Volume +10% vs S-1 — alleger S+1",""),IF(L8="rpe_2sem","RPE eleve 2 sem — alleger maintenant",""),IF(L8="trop_casse","Trop de seances cassees — recup cette semaine",""),IF(L8="affutage","Affutage : plus de max, allure de course",""),IF(M8="tester_A","Retest A (T50+T100) apres une seance facile",""),IF(M8="tester_B","Retest B (T200+T400) a frais",""),IF(M8="tester_A_et_B","Retest A cette sem, B la suivante",""),IF(M8="attendre_fin_deload","Retest apres le deload, pas pendant",""),IF(M8="pas_maintenant","Pas de test a fond",""),IF(AND(L8="",M8=""),"Charge OK — semaine normale","")))</f>
        <v/>
      </c>
      <c r="O8" s="20">
        <f>IF($A8="","",SUMIFS(tblSeances[volume_m],tblSeances[id_nageur],$A8,tblSeances[lundi],$B8-7,tblSeances[faite],"oui"))</f>
        <v/>
      </c>
      <c r="P8" s="23">
        <f>IF($A8="","",IFERROR(AVERAGEIFS(tblSeances[rpe],tblSeances[id_nageur],$A8,tblSeances[lundi],$B8-7,tblSeances[faite],"oui"),""))</f>
        <v/>
      </c>
      <c r="Q8" s="20">
        <f>IF($A8="","",COUNTIFS(tblSeances[id_nageur],$A8,tblSeances[lundi],$B8,tblSeances[qualite],"casse"))</f>
        <v/>
      </c>
      <c r="R8" s="20">
        <f>IF($A8="","",IFERROR(INDEX(tblNageurs[seances_sem],MATCH($A8,tblNageurs[id],0)),3))</f>
        <v/>
      </c>
    </row>
    <row r="9" ht="28" customHeight="1">
      <c r="A9" s="34" t="n"/>
      <c r="B9" s="35" t="n"/>
      <c r="C9" s="13">
        <f>IF($A9="","",COUNTIFS(tblSeances[id_nageur],$A9,tblSeances[lundi],$B9,tblSeances[faite],"oui"))</f>
        <v/>
      </c>
      <c r="D9" s="13">
        <f>IF($A9="","",SUMIFS(tblSeances[volume_m],tblSeances[id_nageur],$A9,tblSeances[lundi],$B9,tblSeances[faite],"oui"))</f>
        <v/>
      </c>
      <c r="E9" s="16">
        <f>IF($A9="","",IFERROR(AVERAGEIFS(tblSeances[rpe],tblSeances[id_nageur],$A9,tblSeances[lundi],$B9,tblSeances[faite],"oui"),""))</f>
        <v/>
      </c>
      <c r="F9" s="17">
        <f>IF(OR($A9="",O9="",O9=0),"", (D9-O9)/O9)</f>
        <v/>
      </c>
      <c r="G9" s="13">
        <f>IF($A9="","",IFERROR(INDEX(FILTER(tblSeances[type_semaine],(tblSeances[id_nageur]=$A9)*(tblSeances[lundi]=$B9)*(tblSeances[type_semaine]&lt;&gt;"")),1),IF(AND(O9&gt;0,D9&lt;=0.7*O9),"allegee","normale")))</f>
        <v/>
      </c>
      <c r="H9" s="16">
        <f>IF($A9="","",IFERROR(LET(d,MAXIFS(tblSeances[lundi],tblSeances[id_nageur],$A9,tblSeances[type_semaine],"allegee"),IF(d=0,"",($B9-d)/7)),""))</f>
        <v/>
      </c>
      <c r="I9" s="16">
        <f>IF($A9="","",IFERROR(LET(d,MAXIFS(tblTests[date],tblTests[id_nageur],$A9,tblTests[protocole],"T100",tblTests[valide],"oui"),IF(d=0,"",($B9-d)/7)),""))</f>
        <v/>
      </c>
      <c r="J9" s="16">
        <f>IF($A9="","",IFERROR(LET(d,MAXIFS(tblTests[date],tblTests[id_nageur],$A9,tblTests[protocole],"T400",tblTests[valide],"oui"),IF(d=0,"",($B9-d)/7)),""))</f>
        <v/>
      </c>
      <c r="K9" s="16">
        <f>IF($A9="","",IFERROR((XLOOKUP($A9,tblObjectifs[cle_dashboard],tblObjectifs[date_objectif])-$B9)/7,""))</f>
        <v/>
      </c>
      <c r="L9" s="13">
        <f>IF($A9="","",IFS(C9&lt;=1,"",AND(K9&lt;&gt;"",K9&lt;=3),"affutage",G9="allegee","en_cours",AND(H9&lt;&gt;"",H9&gt;=IF(R9&lt;=2,5,3),C9&gt;=IF(R9&lt;=2,2,3)),"due",AND(F9&lt;&gt;"",F9&gt;0.1),"volume_+10%",AND(E9&lt;&gt;"",E9&gt;=8,P9&lt;&gt;"",P9&gt;=8),"rpe_2sem",Q9&gt;=2,"trop_casse",TRUE,""))</f>
        <v/>
      </c>
      <c r="M9" s="13">
        <f>IF($A9="","",IFS(AND(K9&lt;&gt;"",K9&lt;=3),"pas_maintenant",G9="allegee","attendre_fin_deload",AND(E9&lt;&gt;"",E9&gt;=8),"pas_maintenant",AND(I9&lt;&gt;"",I9&gt;=5,J9&lt;&gt;"",J9&gt;=7),"tester_A_et_B",AND(I9&lt;&gt;"",I9&gt;=5),"tester_A",AND(J9&lt;&gt;"",J9&gt;=7),"tester_B",TRUE,""))</f>
        <v/>
      </c>
      <c r="N9" s="15">
        <f>IF($A9="","",TEXTJOIN(" · ",TRUE,IF(L9="due","Deload cette semaine (−30% vol, RPE≤6, pas de max)",""),IF(L9="en_cours","Deload en cours — garder le leger",""),IF(L9="volume_+10%","Volume +10% vs S-1 — alleger S+1",""),IF(L9="rpe_2sem","RPE eleve 2 sem — alleger maintenant",""),IF(L9="trop_casse","Trop de seances cassees — recup cette semaine",""),IF(L9="affutage","Affutage : plus de max, allure de course",""),IF(M9="tester_A","Retest A (T50+T100) apres une seance facile",""),IF(M9="tester_B","Retest B (T200+T400) a frais",""),IF(M9="tester_A_et_B","Retest A cette sem, B la suivante",""),IF(M9="attendre_fin_deload","Retest apres le deload, pas pendant",""),IF(M9="pas_maintenant","Pas de test a fond",""),IF(AND(L9="",M9=""),"Charge OK — semaine normale","")))</f>
        <v/>
      </c>
      <c r="O9" s="13">
        <f>IF($A9="","",SUMIFS(tblSeances[volume_m],tblSeances[id_nageur],$A9,tblSeances[lundi],$B9-7,tblSeances[faite],"oui"))</f>
        <v/>
      </c>
      <c r="P9" s="16">
        <f>IF($A9="","",IFERROR(AVERAGEIFS(tblSeances[rpe],tblSeances[id_nageur],$A9,tblSeances[lundi],$B9-7,tblSeances[faite],"oui"),""))</f>
        <v/>
      </c>
      <c r="Q9" s="13">
        <f>IF($A9="","",COUNTIFS(tblSeances[id_nageur],$A9,tblSeances[lundi],$B9,tblSeances[qualite],"casse"))</f>
        <v/>
      </c>
      <c r="R9" s="13">
        <f>IF($A9="","",IFERROR(INDEX(tblNageurs[seances_sem],MATCH($A9,tblNageurs[id],0)),3))</f>
        <v/>
      </c>
    </row>
    <row r="10" ht="28" customHeight="1">
      <c r="A10" s="34" t="n"/>
      <c r="B10" s="35" t="n"/>
      <c r="C10" s="20">
        <f>IF($A10="","",COUNTIFS(tblSeances[id_nageur],$A10,tblSeances[lundi],$B10,tblSeances[faite],"oui"))</f>
        <v/>
      </c>
      <c r="D10" s="20">
        <f>IF($A10="","",SUMIFS(tblSeances[volume_m],tblSeances[id_nageur],$A10,tblSeances[lundi],$B10,tblSeances[faite],"oui"))</f>
        <v/>
      </c>
      <c r="E10" s="23">
        <f>IF($A10="","",IFERROR(AVERAGEIFS(tblSeances[rpe],tblSeances[id_nageur],$A10,tblSeances[lundi],$B10,tblSeances[faite],"oui"),""))</f>
        <v/>
      </c>
      <c r="F10" s="24">
        <f>IF(OR($A10="",O10="",O10=0),"", (D10-O10)/O10)</f>
        <v/>
      </c>
      <c r="G10" s="20">
        <f>IF($A10="","",IFERROR(INDEX(FILTER(tblSeances[type_semaine],(tblSeances[id_nageur]=$A10)*(tblSeances[lundi]=$B10)*(tblSeances[type_semaine]&lt;&gt;"")),1),IF(AND(O10&gt;0,D10&lt;=0.7*O10),"allegee","normale")))</f>
        <v/>
      </c>
      <c r="H10" s="23">
        <f>IF($A10="","",IFERROR(LET(d,MAXIFS(tblSeances[lundi],tblSeances[id_nageur],$A10,tblSeances[type_semaine],"allegee"),IF(d=0,"",($B10-d)/7)),""))</f>
        <v/>
      </c>
      <c r="I10" s="23">
        <f>IF($A10="","",IFERROR(LET(d,MAXIFS(tblTests[date],tblTests[id_nageur],$A10,tblTests[protocole],"T100",tblTests[valide],"oui"),IF(d=0,"",($B10-d)/7)),""))</f>
        <v/>
      </c>
      <c r="J10" s="23">
        <f>IF($A10="","",IFERROR(LET(d,MAXIFS(tblTests[date],tblTests[id_nageur],$A10,tblTests[protocole],"T400",tblTests[valide],"oui"),IF(d=0,"",($B10-d)/7)),""))</f>
        <v/>
      </c>
      <c r="K10" s="23">
        <f>IF($A10="","",IFERROR((XLOOKUP($A10,tblObjectifs[cle_dashboard],tblObjectifs[date_objectif])-$B10)/7,""))</f>
        <v/>
      </c>
      <c r="L10" s="20">
        <f>IF($A10="","",IFS(C10&lt;=1,"",AND(K10&lt;&gt;"",K10&lt;=3),"affutage",G10="allegee","en_cours",AND(H10&lt;&gt;"",H10&gt;=IF(R10&lt;=2,5,3),C10&gt;=IF(R10&lt;=2,2,3)),"due",AND(F10&lt;&gt;"",F10&gt;0.1),"volume_+10%",AND(E10&lt;&gt;"",E10&gt;=8,P10&lt;&gt;"",P10&gt;=8),"rpe_2sem",Q10&gt;=2,"trop_casse",TRUE,""))</f>
        <v/>
      </c>
      <c r="M10" s="20">
        <f>IF($A10="","",IFS(AND(K10&lt;&gt;"",K10&lt;=3),"pas_maintenant",G10="allegee","attendre_fin_deload",AND(E10&lt;&gt;"",E10&gt;=8),"pas_maintenant",AND(I10&lt;&gt;"",I10&gt;=5,J10&lt;&gt;"",J10&gt;=7),"tester_A_et_B",AND(I10&lt;&gt;"",I10&gt;=5),"tester_A",AND(J10&lt;&gt;"",J10&gt;=7),"tester_B",TRUE,""))</f>
        <v/>
      </c>
      <c r="N10" s="22">
        <f>IF($A10="","",TEXTJOIN(" · ",TRUE,IF(L10="due","Deload cette semaine (−30% vol, RPE≤6, pas de max)",""),IF(L10="en_cours","Deload en cours — garder le leger",""),IF(L10="volume_+10%","Volume +10% vs S-1 — alleger S+1",""),IF(L10="rpe_2sem","RPE eleve 2 sem — alleger maintenant",""),IF(L10="trop_casse","Trop de seances cassees — recup cette semaine",""),IF(L10="affutage","Affutage : plus de max, allure de course",""),IF(M10="tester_A","Retest A (T50+T100) apres une seance facile",""),IF(M10="tester_B","Retest B (T200+T400) a frais",""),IF(M10="tester_A_et_B","Retest A cette sem, B la suivante",""),IF(M10="attendre_fin_deload","Retest apres le deload, pas pendant",""),IF(M10="pas_maintenant","Pas de test a fond",""),IF(AND(L10="",M10=""),"Charge OK — semaine normale","")))</f>
        <v/>
      </c>
      <c r="O10" s="20">
        <f>IF($A10="","",SUMIFS(tblSeances[volume_m],tblSeances[id_nageur],$A10,tblSeances[lundi],$B10-7,tblSeances[faite],"oui"))</f>
        <v/>
      </c>
      <c r="P10" s="23">
        <f>IF($A10="","",IFERROR(AVERAGEIFS(tblSeances[rpe],tblSeances[id_nageur],$A10,tblSeances[lundi],$B10-7,tblSeances[faite],"oui"),""))</f>
        <v/>
      </c>
      <c r="Q10" s="20">
        <f>IF($A10="","",COUNTIFS(tblSeances[id_nageur],$A10,tblSeances[lundi],$B10,tblSeances[qualite],"casse"))</f>
        <v/>
      </c>
      <c r="R10" s="20">
        <f>IF($A10="","",IFERROR(INDEX(tblNageurs[seances_sem],MATCH($A10,tblNageurs[id],0)),3))</f>
        <v/>
      </c>
    </row>
    <row r="11" ht="28" customHeight="1">
      <c r="A11" s="34" t="n"/>
      <c r="B11" s="35" t="n"/>
      <c r="C11" s="13">
        <f>IF($A11="","",COUNTIFS(tblSeances[id_nageur],$A11,tblSeances[lundi],$B11,tblSeances[faite],"oui"))</f>
        <v/>
      </c>
      <c r="D11" s="13">
        <f>IF($A11="","",SUMIFS(tblSeances[volume_m],tblSeances[id_nageur],$A11,tblSeances[lundi],$B11,tblSeances[faite],"oui"))</f>
        <v/>
      </c>
      <c r="E11" s="16">
        <f>IF($A11="","",IFERROR(AVERAGEIFS(tblSeances[rpe],tblSeances[id_nageur],$A11,tblSeances[lundi],$B11,tblSeances[faite],"oui"),""))</f>
        <v/>
      </c>
      <c r="F11" s="17">
        <f>IF(OR($A11="",O11="",O11=0),"", (D11-O11)/O11)</f>
        <v/>
      </c>
      <c r="G11" s="13">
        <f>IF($A11="","",IFERROR(INDEX(FILTER(tblSeances[type_semaine],(tblSeances[id_nageur]=$A11)*(tblSeances[lundi]=$B11)*(tblSeances[type_semaine]&lt;&gt;"")),1),IF(AND(O11&gt;0,D11&lt;=0.7*O11),"allegee","normale")))</f>
        <v/>
      </c>
      <c r="H11" s="16">
        <f>IF($A11="","",IFERROR(LET(d,MAXIFS(tblSeances[lundi],tblSeances[id_nageur],$A11,tblSeances[type_semaine],"allegee"),IF(d=0,"",($B11-d)/7)),""))</f>
        <v/>
      </c>
      <c r="I11" s="16">
        <f>IF($A11="","",IFERROR(LET(d,MAXIFS(tblTests[date],tblTests[id_nageur],$A11,tblTests[protocole],"T100",tblTests[valide],"oui"),IF(d=0,"",($B11-d)/7)),""))</f>
        <v/>
      </c>
      <c r="J11" s="16">
        <f>IF($A11="","",IFERROR(LET(d,MAXIFS(tblTests[date],tblTests[id_nageur],$A11,tblTests[protocole],"T400",tblTests[valide],"oui"),IF(d=0,"",($B11-d)/7)),""))</f>
        <v/>
      </c>
      <c r="K11" s="16">
        <f>IF($A11="","",IFERROR((XLOOKUP($A11,tblObjectifs[cle_dashboard],tblObjectifs[date_objectif])-$B11)/7,""))</f>
        <v/>
      </c>
      <c r="L11" s="13">
        <f>IF($A11="","",IFS(C11&lt;=1,"",AND(K11&lt;&gt;"",K11&lt;=3),"affutage",G11="allegee","en_cours",AND(H11&lt;&gt;"",H11&gt;=IF(R11&lt;=2,5,3),C11&gt;=IF(R11&lt;=2,2,3)),"due",AND(F11&lt;&gt;"",F11&gt;0.1),"volume_+10%",AND(E11&lt;&gt;"",E11&gt;=8,P11&lt;&gt;"",P11&gt;=8),"rpe_2sem",Q11&gt;=2,"trop_casse",TRUE,""))</f>
        <v/>
      </c>
      <c r="M11" s="13">
        <f>IF($A11="","",IFS(AND(K11&lt;&gt;"",K11&lt;=3),"pas_maintenant",G11="allegee","attendre_fin_deload",AND(E11&lt;&gt;"",E11&gt;=8),"pas_maintenant",AND(I11&lt;&gt;"",I11&gt;=5,J11&lt;&gt;"",J11&gt;=7),"tester_A_et_B",AND(I11&lt;&gt;"",I11&gt;=5),"tester_A",AND(J11&lt;&gt;"",J11&gt;=7),"tester_B",TRUE,""))</f>
        <v/>
      </c>
      <c r="N11" s="15">
        <f>IF($A11="","",TEXTJOIN(" · ",TRUE,IF(L11="due","Deload cette semaine (−30% vol, RPE≤6, pas de max)",""),IF(L11="en_cours","Deload en cours — garder le leger",""),IF(L11="volume_+10%","Volume +10% vs S-1 — alleger S+1",""),IF(L11="rpe_2sem","RPE eleve 2 sem — alleger maintenant",""),IF(L11="trop_casse","Trop de seances cassees — recup cette semaine",""),IF(L11="affutage","Affutage : plus de max, allure de course",""),IF(M11="tester_A","Retest A (T50+T100) apres une seance facile",""),IF(M11="tester_B","Retest B (T200+T400) a frais",""),IF(M11="tester_A_et_B","Retest A cette sem, B la suivante",""),IF(M11="attendre_fin_deload","Retest apres le deload, pas pendant",""),IF(M11="pas_maintenant","Pas de test a fond",""),IF(AND(L11="",M11=""),"Charge OK — semaine normale","")))</f>
        <v/>
      </c>
      <c r="O11" s="13">
        <f>IF($A11="","",SUMIFS(tblSeances[volume_m],tblSeances[id_nageur],$A11,tblSeances[lundi],$B11-7,tblSeances[faite],"oui"))</f>
        <v/>
      </c>
      <c r="P11" s="16">
        <f>IF($A11="","",IFERROR(AVERAGEIFS(tblSeances[rpe],tblSeances[id_nageur],$A11,tblSeances[lundi],$B11-7,tblSeances[faite],"oui"),""))</f>
        <v/>
      </c>
      <c r="Q11" s="13">
        <f>IF($A11="","",COUNTIFS(tblSeances[id_nageur],$A11,tblSeances[lundi],$B11,tblSeances[qualite],"casse"))</f>
        <v/>
      </c>
      <c r="R11" s="13">
        <f>IF($A11="","",IFERROR(INDEX(tblNageurs[seances_sem],MATCH($A11,tblNageurs[id],0)),3))</f>
        <v/>
      </c>
    </row>
    <row r="12" ht="28" customHeight="1">
      <c r="A12" s="34" t="n"/>
      <c r="B12" s="35" t="n"/>
      <c r="C12" s="20">
        <f>IF($A12="","",COUNTIFS(tblSeances[id_nageur],$A12,tblSeances[lundi],$B12,tblSeances[faite],"oui"))</f>
        <v/>
      </c>
      <c r="D12" s="20">
        <f>IF($A12="","",SUMIFS(tblSeances[volume_m],tblSeances[id_nageur],$A12,tblSeances[lundi],$B12,tblSeances[faite],"oui"))</f>
        <v/>
      </c>
      <c r="E12" s="23">
        <f>IF($A12="","",IFERROR(AVERAGEIFS(tblSeances[rpe],tblSeances[id_nageur],$A12,tblSeances[lundi],$B12,tblSeances[faite],"oui"),""))</f>
        <v/>
      </c>
      <c r="F12" s="24">
        <f>IF(OR($A12="",O12="",O12=0),"", (D12-O12)/O12)</f>
        <v/>
      </c>
      <c r="G12" s="20">
        <f>IF($A12="","",IFERROR(INDEX(FILTER(tblSeances[type_semaine],(tblSeances[id_nageur]=$A12)*(tblSeances[lundi]=$B12)*(tblSeances[type_semaine]&lt;&gt;"")),1),IF(AND(O12&gt;0,D12&lt;=0.7*O12),"allegee","normale")))</f>
        <v/>
      </c>
      <c r="H12" s="23">
        <f>IF($A12="","",IFERROR(LET(d,MAXIFS(tblSeances[lundi],tblSeances[id_nageur],$A12,tblSeances[type_semaine],"allegee"),IF(d=0,"",($B12-d)/7)),""))</f>
        <v/>
      </c>
      <c r="I12" s="23">
        <f>IF($A12="","",IFERROR(LET(d,MAXIFS(tblTests[date],tblTests[id_nageur],$A12,tblTests[protocole],"T100",tblTests[valide],"oui"),IF(d=0,"",($B12-d)/7)),""))</f>
        <v/>
      </c>
      <c r="J12" s="23">
        <f>IF($A12="","",IFERROR(LET(d,MAXIFS(tblTests[date],tblTests[id_nageur],$A12,tblTests[protocole],"T400",tblTests[valide],"oui"),IF(d=0,"",($B12-d)/7)),""))</f>
        <v/>
      </c>
      <c r="K12" s="23">
        <f>IF($A12="","",IFERROR((XLOOKUP($A12,tblObjectifs[cle_dashboard],tblObjectifs[date_objectif])-$B12)/7,""))</f>
        <v/>
      </c>
      <c r="L12" s="20">
        <f>IF($A12="","",IFS(C12&lt;=1,"",AND(K12&lt;&gt;"",K12&lt;=3),"affutage",G12="allegee","en_cours",AND(H12&lt;&gt;"",H12&gt;=IF(R12&lt;=2,5,3),C12&gt;=IF(R12&lt;=2,2,3)),"due",AND(F12&lt;&gt;"",F12&gt;0.1),"volume_+10%",AND(E12&lt;&gt;"",E12&gt;=8,P12&lt;&gt;"",P12&gt;=8),"rpe_2sem",Q12&gt;=2,"trop_casse",TRUE,""))</f>
        <v/>
      </c>
      <c r="M12" s="20">
        <f>IF($A12="","",IFS(AND(K12&lt;&gt;"",K12&lt;=3),"pas_maintenant",G12="allegee","attendre_fin_deload",AND(E12&lt;&gt;"",E12&gt;=8),"pas_maintenant",AND(I12&lt;&gt;"",I12&gt;=5,J12&lt;&gt;"",J12&gt;=7),"tester_A_et_B",AND(I12&lt;&gt;"",I12&gt;=5),"tester_A",AND(J12&lt;&gt;"",J12&gt;=7),"tester_B",TRUE,""))</f>
        <v/>
      </c>
      <c r="N12" s="22">
        <f>IF($A12="","",TEXTJOIN(" · ",TRUE,IF(L12="due","Deload cette semaine (−30% vol, RPE≤6, pas de max)",""),IF(L12="en_cours","Deload en cours — garder le leger",""),IF(L12="volume_+10%","Volume +10% vs S-1 — alleger S+1",""),IF(L12="rpe_2sem","RPE eleve 2 sem — alleger maintenant",""),IF(L12="trop_casse","Trop de seances cassees — recup cette semaine",""),IF(L12="affutage","Affutage : plus de max, allure de course",""),IF(M12="tester_A","Retest A (T50+T100) apres une seance facile",""),IF(M12="tester_B","Retest B (T200+T400) a frais",""),IF(M12="tester_A_et_B","Retest A cette sem, B la suivante",""),IF(M12="attendre_fin_deload","Retest apres le deload, pas pendant",""),IF(M12="pas_maintenant","Pas de test a fond",""),IF(AND(L12="",M12=""),"Charge OK — semaine normale","")))</f>
        <v/>
      </c>
      <c r="O12" s="20">
        <f>IF($A12="","",SUMIFS(tblSeances[volume_m],tblSeances[id_nageur],$A12,tblSeances[lundi],$B12-7,tblSeances[faite],"oui"))</f>
        <v/>
      </c>
      <c r="P12" s="23">
        <f>IF($A12="","",IFERROR(AVERAGEIFS(tblSeances[rpe],tblSeances[id_nageur],$A12,tblSeances[lundi],$B12-7,tblSeances[faite],"oui"),""))</f>
        <v/>
      </c>
      <c r="Q12" s="20">
        <f>IF($A12="","",COUNTIFS(tblSeances[id_nageur],$A12,tblSeances[lundi],$B12,tblSeances[qualite],"casse"))</f>
        <v/>
      </c>
      <c r="R12" s="20">
        <f>IF($A12="","",IFERROR(INDEX(tblNageurs[seances_sem],MATCH($A12,tblNageurs[id],0)),3))</f>
        <v/>
      </c>
    </row>
    <row r="13" ht="28" customHeight="1">
      <c r="A13" s="34" t="n"/>
      <c r="B13" s="35" t="n"/>
      <c r="C13" s="13">
        <f>IF($A13="","",COUNTIFS(tblSeances[id_nageur],$A13,tblSeances[lundi],$B13,tblSeances[faite],"oui"))</f>
        <v/>
      </c>
      <c r="D13" s="13">
        <f>IF($A13="","",SUMIFS(tblSeances[volume_m],tblSeances[id_nageur],$A13,tblSeances[lundi],$B13,tblSeances[faite],"oui"))</f>
        <v/>
      </c>
      <c r="E13" s="16">
        <f>IF($A13="","",IFERROR(AVERAGEIFS(tblSeances[rpe],tblSeances[id_nageur],$A13,tblSeances[lundi],$B13,tblSeances[faite],"oui"),""))</f>
        <v/>
      </c>
      <c r="F13" s="17">
        <f>IF(OR($A13="",O13="",O13=0),"", (D13-O13)/O13)</f>
        <v/>
      </c>
      <c r="G13" s="13">
        <f>IF($A13="","",IFERROR(INDEX(FILTER(tblSeances[type_semaine],(tblSeances[id_nageur]=$A13)*(tblSeances[lundi]=$B13)*(tblSeances[type_semaine]&lt;&gt;"")),1),IF(AND(O13&gt;0,D13&lt;=0.7*O13),"allegee","normale")))</f>
        <v/>
      </c>
      <c r="H13" s="16">
        <f>IF($A13="","",IFERROR(LET(d,MAXIFS(tblSeances[lundi],tblSeances[id_nageur],$A13,tblSeances[type_semaine],"allegee"),IF(d=0,"",($B13-d)/7)),""))</f>
        <v/>
      </c>
      <c r="I13" s="16">
        <f>IF($A13="","",IFERROR(LET(d,MAXIFS(tblTests[date],tblTests[id_nageur],$A13,tblTests[protocole],"T100",tblTests[valide],"oui"),IF(d=0,"",($B13-d)/7)),""))</f>
        <v/>
      </c>
      <c r="J13" s="16">
        <f>IF($A13="","",IFERROR(LET(d,MAXIFS(tblTests[date],tblTests[id_nageur],$A13,tblTests[protocole],"T400",tblTests[valide],"oui"),IF(d=0,"",($B13-d)/7)),""))</f>
        <v/>
      </c>
      <c r="K13" s="16">
        <f>IF($A13="","",IFERROR((XLOOKUP($A13,tblObjectifs[cle_dashboard],tblObjectifs[date_objectif])-$B13)/7,""))</f>
        <v/>
      </c>
      <c r="L13" s="13">
        <f>IF($A13="","",IFS(C13&lt;=1,"",AND(K13&lt;&gt;"",K13&lt;=3),"affutage",G13="allegee","en_cours",AND(H13&lt;&gt;"",H13&gt;=IF(R13&lt;=2,5,3),C13&gt;=IF(R13&lt;=2,2,3)),"due",AND(F13&lt;&gt;"",F13&gt;0.1),"volume_+10%",AND(E13&lt;&gt;"",E13&gt;=8,P13&lt;&gt;"",P13&gt;=8),"rpe_2sem",Q13&gt;=2,"trop_casse",TRUE,""))</f>
        <v/>
      </c>
      <c r="M13" s="13">
        <f>IF($A13="","",IFS(AND(K13&lt;&gt;"",K13&lt;=3),"pas_maintenant",G13="allegee","attendre_fin_deload",AND(E13&lt;&gt;"",E13&gt;=8),"pas_maintenant",AND(I13&lt;&gt;"",I13&gt;=5,J13&lt;&gt;"",J13&gt;=7),"tester_A_et_B",AND(I13&lt;&gt;"",I13&gt;=5),"tester_A",AND(J13&lt;&gt;"",J13&gt;=7),"tester_B",TRUE,""))</f>
        <v/>
      </c>
      <c r="N13" s="15">
        <f>IF($A13="","",TEXTJOIN(" · ",TRUE,IF(L13="due","Deload cette semaine (−30% vol, RPE≤6, pas de max)",""),IF(L13="en_cours","Deload en cours — garder le leger",""),IF(L13="volume_+10%","Volume +10% vs S-1 — alleger S+1",""),IF(L13="rpe_2sem","RPE eleve 2 sem — alleger maintenant",""),IF(L13="trop_casse","Trop de seances cassees — recup cette semaine",""),IF(L13="affutage","Affutage : plus de max, allure de course",""),IF(M13="tester_A","Retest A (T50+T100) apres une seance facile",""),IF(M13="tester_B","Retest B (T200+T400) a frais",""),IF(M13="tester_A_et_B","Retest A cette sem, B la suivante",""),IF(M13="attendre_fin_deload","Retest apres le deload, pas pendant",""),IF(M13="pas_maintenant","Pas de test a fond",""),IF(AND(L13="",M13=""),"Charge OK — semaine normale","")))</f>
        <v/>
      </c>
      <c r="O13" s="13">
        <f>IF($A13="","",SUMIFS(tblSeances[volume_m],tblSeances[id_nageur],$A13,tblSeances[lundi],$B13-7,tblSeances[faite],"oui"))</f>
        <v/>
      </c>
      <c r="P13" s="16">
        <f>IF($A13="","",IFERROR(AVERAGEIFS(tblSeances[rpe],tblSeances[id_nageur],$A13,tblSeances[lundi],$B13-7,tblSeances[faite],"oui"),""))</f>
        <v/>
      </c>
      <c r="Q13" s="13">
        <f>IF($A13="","",COUNTIFS(tblSeances[id_nageur],$A13,tblSeances[lundi],$B13,tblSeances[qualite],"casse"))</f>
        <v/>
      </c>
      <c r="R13" s="13">
        <f>IF($A13="","",IFERROR(INDEX(tblNageurs[seances_sem],MATCH($A13,tblNageurs[id],0)),3))</f>
        <v/>
      </c>
    </row>
    <row r="14" ht="28" customHeight="1">
      <c r="A14" s="34" t="n"/>
      <c r="B14" s="35" t="n"/>
      <c r="C14" s="20">
        <f>IF($A14="","",COUNTIFS(tblSeances[id_nageur],$A14,tblSeances[lundi],$B14,tblSeances[faite],"oui"))</f>
        <v/>
      </c>
      <c r="D14" s="20">
        <f>IF($A14="","",SUMIFS(tblSeances[volume_m],tblSeances[id_nageur],$A14,tblSeances[lundi],$B14,tblSeances[faite],"oui"))</f>
        <v/>
      </c>
      <c r="E14" s="23">
        <f>IF($A14="","",IFERROR(AVERAGEIFS(tblSeances[rpe],tblSeances[id_nageur],$A14,tblSeances[lundi],$B14,tblSeances[faite],"oui"),""))</f>
        <v/>
      </c>
      <c r="F14" s="24">
        <f>IF(OR($A14="",O14="",O14=0),"", (D14-O14)/O14)</f>
        <v/>
      </c>
      <c r="G14" s="20">
        <f>IF($A14="","",IFERROR(INDEX(FILTER(tblSeances[type_semaine],(tblSeances[id_nageur]=$A14)*(tblSeances[lundi]=$B14)*(tblSeances[type_semaine]&lt;&gt;"")),1),IF(AND(O14&gt;0,D14&lt;=0.7*O14),"allegee","normale")))</f>
        <v/>
      </c>
      <c r="H14" s="23">
        <f>IF($A14="","",IFERROR(LET(d,MAXIFS(tblSeances[lundi],tblSeances[id_nageur],$A14,tblSeances[type_semaine],"allegee"),IF(d=0,"",($B14-d)/7)),""))</f>
        <v/>
      </c>
      <c r="I14" s="23">
        <f>IF($A14="","",IFERROR(LET(d,MAXIFS(tblTests[date],tblTests[id_nageur],$A14,tblTests[protocole],"T100",tblTests[valide],"oui"),IF(d=0,"",($B14-d)/7)),""))</f>
        <v/>
      </c>
      <c r="J14" s="23">
        <f>IF($A14="","",IFERROR(LET(d,MAXIFS(tblTests[date],tblTests[id_nageur],$A14,tblTests[protocole],"T400",tblTests[valide],"oui"),IF(d=0,"",($B14-d)/7)),""))</f>
        <v/>
      </c>
      <c r="K14" s="23">
        <f>IF($A14="","",IFERROR((XLOOKUP($A14,tblObjectifs[cle_dashboard],tblObjectifs[date_objectif])-$B14)/7,""))</f>
        <v/>
      </c>
      <c r="L14" s="20">
        <f>IF($A14="","",IFS(C14&lt;=1,"",AND(K14&lt;&gt;"",K14&lt;=3),"affutage",G14="allegee","en_cours",AND(H14&lt;&gt;"",H14&gt;=IF(R14&lt;=2,5,3),C14&gt;=IF(R14&lt;=2,2,3)),"due",AND(F14&lt;&gt;"",F14&gt;0.1),"volume_+10%",AND(E14&lt;&gt;"",E14&gt;=8,P14&lt;&gt;"",P14&gt;=8),"rpe_2sem",Q14&gt;=2,"trop_casse",TRUE,""))</f>
        <v/>
      </c>
      <c r="M14" s="20">
        <f>IF($A14="","",IFS(AND(K14&lt;&gt;"",K14&lt;=3),"pas_maintenant",G14="allegee","attendre_fin_deload",AND(E14&lt;&gt;"",E14&gt;=8),"pas_maintenant",AND(I14&lt;&gt;"",I14&gt;=5,J14&lt;&gt;"",J14&gt;=7),"tester_A_et_B",AND(I14&lt;&gt;"",I14&gt;=5),"tester_A",AND(J14&lt;&gt;"",J14&gt;=7),"tester_B",TRUE,""))</f>
        <v/>
      </c>
      <c r="N14" s="22">
        <f>IF($A14="","",TEXTJOIN(" · ",TRUE,IF(L14="due","Deload cette semaine (−30% vol, RPE≤6, pas de max)",""),IF(L14="en_cours","Deload en cours — garder le leger",""),IF(L14="volume_+10%","Volume +10% vs S-1 — alleger S+1",""),IF(L14="rpe_2sem","RPE eleve 2 sem — alleger maintenant",""),IF(L14="trop_casse","Trop de seances cassees — recup cette semaine",""),IF(L14="affutage","Affutage : plus de max, allure de course",""),IF(M14="tester_A","Retest A (T50+T100) apres une seance facile",""),IF(M14="tester_B","Retest B (T200+T400) a frais",""),IF(M14="tester_A_et_B","Retest A cette sem, B la suivante",""),IF(M14="attendre_fin_deload","Retest apres le deload, pas pendant",""),IF(M14="pas_maintenant","Pas de test a fond",""),IF(AND(L14="",M14=""),"Charge OK — semaine normale","")))</f>
        <v/>
      </c>
      <c r="O14" s="20">
        <f>IF($A14="","",SUMIFS(tblSeances[volume_m],tblSeances[id_nageur],$A14,tblSeances[lundi],$B14-7,tblSeances[faite],"oui"))</f>
        <v/>
      </c>
      <c r="P14" s="23">
        <f>IF($A14="","",IFERROR(AVERAGEIFS(tblSeances[rpe],tblSeances[id_nageur],$A14,tblSeances[lundi],$B14-7,tblSeances[faite],"oui"),""))</f>
        <v/>
      </c>
      <c r="Q14" s="20">
        <f>IF($A14="","",COUNTIFS(tblSeances[id_nageur],$A14,tblSeances[lundi],$B14,tblSeances[qualite],"casse"))</f>
        <v/>
      </c>
      <c r="R14" s="20">
        <f>IF($A14="","",IFERROR(INDEX(tblNageurs[seances_sem],MATCH($A14,tblNageurs[id],0)),3))</f>
        <v/>
      </c>
    </row>
    <row r="15" ht="28" customHeight="1">
      <c r="A15" s="34" t="n"/>
      <c r="B15" s="35" t="n"/>
      <c r="C15" s="13">
        <f>IF($A15="","",COUNTIFS(tblSeances[id_nageur],$A15,tblSeances[lundi],$B15,tblSeances[faite],"oui"))</f>
        <v/>
      </c>
      <c r="D15" s="13">
        <f>IF($A15="","",SUMIFS(tblSeances[volume_m],tblSeances[id_nageur],$A15,tblSeances[lundi],$B15,tblSeances[faite],"oui"))</f>
        <v/>
      </c>
      <c r="E15" s="16">
        <f>IF($A15="","",IFERROR(AVERAGEIFS(tblSeances[rpe],tblSeances[id_nageur],$A15,tblSeances[lundi],$B15,tblSeances[faite],"oui"),""))</f>
        <v/>
      </c>
      <c r="F15" s="17">
        <f>IF(OR($A15="",O15="",O15=0),"", (D15-O15)/O15)</f>
        <v/>
      </c>
      <c r="G15" s="13">
        <f>IF($A15="","",IFERROR(INDEX(FILTER(tblSeances[type_semaine],(tblSeances[id_nageur]=$A15)*(tblSeances[lundi]=$B15)*(tblSeances[type_semaine]&lt;&gt;"")),1),IF(AND(O15&gt;0,D15&lt;=0.7*O15),"allegee","normale")))</f>
        <v/>
      </c>
      <c r="H15" s="16">
        <f>IF($A15="","",IFERROR(LET(d,MAXIFS(tblSeances[lundi],tblSeances[id_nageur],$A15,tblSeances[type_semaine],"allegee"),IF(d=0,"",($B15-d)/7)),""))</f>
        <v/>
      </c>
      <c r="I15" s="16">
        <f>IF($A15="","",IFERROR(LET(d,MAXIFS(tblTests[date],tblTests[id_nageur],$A15,tblTests[protocole],"T100",tblTests[valide],"oui"),IF(d=0,"",($B15-d)/7)),""))</f>
        <v/>
      </c>
      <c r="J15" s="16">
        <f>IF($A15="","",IFERROR(LET(d,MAXIFS(tblTests[date],tblTests[id_nageur],$A15,tblTests[protocole],"T400",tblTests[valide],"oui"),IF(d=0,"",($B15-d)/7)),""))</f>
        <v/>
      </c>
      <c r="K15" s="16">
        <f>IF($A15="","",IFERROR((XLOOKUP($A15,tblObjectifs[cle_dashboard],tblObjectifs[date_objectif])-$B15)/7,""))</f>
        <v/>
      </c>
      <c r="L15" s="13">
        <f>IF($A15="","",IFS(C15&lt;=1,"",AND(K15&lt;&gt;"",K15&lt;=3),"affutage",G15="allegee","en_cours",AND(H15&lt;&gt;"",H15&gt;=IF(R15&lt;=2,5,3),C15&gt;=IF(R15&lt;=2,2,3)),"due",AND(F15&lt;&gt;"",F15&gt;0.1),"volume_+10%",AND(E15&lt;&gt;"",E15&gt;=8,P15&lt;&gt;"",P15&gt;=8),"rpe_2sem",Q15&gt;=2,"trop_casse",TRUE,""))</f>
        <v/>
      </c>
      <c r="M15" s="13">
        <f>IF($A15="","",IFS(AND(K15&lt;&gt;"",K15&lt;=3),"pas_maintenant",G15="allegee","attendre_fin_deload",AND(E15&lt;&gt;"",E15&gt;=8),"pas_maintenant",AND(I15&lt;&gt;"",I15&gt;=5,J15&lt;&gt;"",J15&gt;=7),"tester_A_et_B",AND(I15&lt;&gt;"",I15&gt;=5),"tester_A",AND(J15&lt;&gt;"",J15&gt;=7),"tester_B",TRUE,""))</f>
        <v/>
      </c>
      <c r="N15" s="15">
        <f>IF($A15="","",TEXTJOIN(" · ",TRUE,IF(L15="due","Deload cette semaine (−30% vol, RPE≤6, pas de max)",""),IF(L15="en_cours","Deload en cours — garder le leger",""),IF(L15="volume_+10%","Volume +10% vs S-1 — alleger S+1",""),IF(L15="rpe_2sem","RPE eleve 2 sem — alleger maintenant",""),IF(L15="trop_casse","Trop de seances cassees — recup cette semaine",""),IF(L15="affutage","Affutage : plus de max, allure de course",""),IF(M15="tester_A","Retest A (T50+T100) apres une seance facile",""),IF(M15="tester_B","Retest B (T200+T400) a frais",""),IF(M15="tester_A_et_B","Retest A cette sem, B la suivante",""),IF(M15="attendre_fin_deload","Retest apres le deload, pas pendant",""),IF(M15="pas_maintenant","Pas de test a fond",""),IF(AND(L15="",M15=""),"Charge OK — semaine normale","")))</f>
        <v/>
      </c>
      <c r="O15" s="13">
        <f>IF($A15="","",SUMIFS(tblSeances[volume_m],tblSeances[id_nageur],$A15,tblSeances[lundi],$B15-7,tblSeances[faite],"oui"))</f>
        <v/>
      </c>
      <c r="P15" s="16">
        <f>IF($A15="","",IFERROR(AVERAGEIFS(tblSeances[rpe],tblSeances[id_nageur],$A15,tblSeances[lundi],$B15-7,tblSeances[faite],"oui"),""))</f>
        <v/>
      </c>
      <c r="Q15" s="13">
        <f>IF($A15="","",COUNTIFS(tblSeances[id_nageur],$A15,tblSeances[lundi],$B15,tblSeances[qualite],"casse"))</f>
        <v/>
      </c>
      <c r="R15" s="13">
        <f>IF($A15="","",IFERROR(INDEX(tblNageurs[seances_sem],MATCH($A15,tblNageurs[id],0)),3))</f>
        <v/>
      </c>
    </row>
    <row r="16" ht="28" customHeight="1">
      <c r="A16" s="34" t="n"/>
      <c r="B16" s="35" t="n"/>
      <c r="C16" s="20">
        <f>IF($A16="","",COUNTIFS(tblSeances[id_nageur],$A16,tblSeances[lundi],$B16,tblSeances[faite],"oui"))</f>
        <v/>
      </c>
      <c r="D16" s="20">
        <f>IF($A16="","",SUMIFS(tblSeances[volume_m],tblSeances[id_nageur],$A16,tblSeances[lundi],$B16,tblSeances[faite],"oui"))</f>
        <v/>
      </c>
      <c r="E16" s="23">
        <f>IF($A16="","",IFERROR(AVERAGEIFS(tblSeances[rpe],tblSeances[id_nageur],$A16,tblSeances[lundi],$B16,tblSeances[faite],"oui"),""))</f>
        <v/>
      </c>
      <c r="F16" s="24">
        <f>IF(OR($A16="",O16="",O16=0),"", (D16-O16)/O16)</f>
        <v/>
      </c>
      <c r="G16" s="20">
        <f>IF($A16="","",IFERROR(INDEX(FILTER(tblSeances[type_semaine],(tblSeances[id_nageur]=$A16)*(tblSeances[lundi]=$B16)*(tblSeances[type_semaine]&lt;&gt;"")),1),IF(AND(O16&gt;0,D16&lt;=0.7*O16),"allegee","normale")))</f>
        <v/>
      </c>
      <c r="H16" s="23">
        <f>IF($A16="","",IFERROR(LET(d,MAXIFS(tblSeances[lundi],tblSeances[id_nageur],$A16,tblSeances[type_semaine],"allegee"),IF(d=0,"",($B16-d)/7)),""))</f>
        <v/>
      </c>
      <c r="I16" s="23">
        <f>IF($A16="","",IFERROR(LET(d,MAXIFS(tblTests[date],tblTests[id_nageur],$A16,tblTests[protocole],"T100",tblTests[valide],"oui"),IF(d=0,"",($B16-d)/7)),""))</f>
        <v/>
      </c>
      <c r="J16" s="23">
        <f>IF($A16="","",IFERROR(LET(d,MAXIFS(tblTests[date],tblTests[id_nageur],$A16,tblTests[protocole],"T400",tblTests[valide],"oui"),IF(d=0,"",($B16-d)/7)),""))</f>
        <v/>
      </c>
      <c r="K16" s="23">
        <f>IF($A16="","",IFERROR((XLOOKUP($A16,tblObjectifs[cle_dashboard],tblObjectifs[date_objectif])-$B16)/7,""))</f>
        <v/>
      </c>
      <c r="L16" s="20">
        <f>IF($A16="","",IFS(C16&lt;=1,"",AND(K16&lt;&gt;"",K16&lt;=3),"affutage",G16="allegee","en_cours",AND(H16&lt;&gt;"",H16&gt;=IF(R16&lt;=2,5,3),C16&gt;=IF(R16&lt;=2,2,3)),"due",AND(F16&lt;&gt;"",F16&gt;0.1),"volume_+10%",AND(E16&lt;&gt;"",E16&gt;=8,P16&lt;&gt;"",P16&gt;=8),"rpe_2sem",Q16&gt;=2,"trop_casse",TRUE,""))</f>
        <v/>
      </c>
      <c r="M16" s="20">
        <f>IF($A16="","",IFS(AND(K16&lt;&gt;"",K16&lt;=3),"pas_maintenant",G16="allegee","attendre_fin_deload",AND(E16&lt;&gt;"",E16&gt;=8),"pas_maintenant",AND(I16&lt;&gt;"",I16&gt;=5,J16&lt;&gt;"",J16&gt;=7),"tester_A_et_B",AND(I16&lt;&gt;"",I16&gt;=5),"tester_A",AND(J16&lt;&gt;"",J16&gt;=7),"tester_B",TRUE,""))</f>
        <v/>
      </c>
      <c r="N16" s="22">
        <f>IF($A16="","",TEXTJOIN(" · ",TRUE,IF(L16="due","Deload cette semaine (−30% vol, RPE≤6, pas de max)",""),IF(L16="en_cours","Deload en cours — garder le leger",""),IF(L16="volume_+10%","Volume +10% vs S-1 — alleger S+1",""),IF(L16="rpe_2sem","RPE eleve 2 sem — alleger maintenant",""),IF(L16="trop_casse","Trop de seances cassees — recup cette semaine",""),IF(L16="affutage","Affutage : plus de max, allure de course",""),IF(M16="tester_A","Retest A (T50+T100) apres une seance facile",""),IF(M16="tester_B","Retest B (T200+T400) a frais",""),IF(M16="tester_A_et_B","Retest A cette sem, B la suivante",""),IF(M16="attendre_fin_deload","Retest apres le deload, pas pendant",""),IF(M16="pas_maintenant","Pas de test a fond",""),IF(AND(L16="",M16=""),"Charge OK — semaine normale","")))</f>
        <v/>
      </c>
      <c r="O16" s="20">
        <f>IF($A16="","",SUMIFS(tblSeances[volume_m],tblSeances[id_nageur],$A16,tblSeances[lundi],$B16-7,tblSeances[faite],"oui"))</f>
        <v/>
      </c>
      <c r="P16" s="23">
        <f>IF($A16="","",IFERROR(AVERAGEIFS(tblSeances[rpe],tblSeances[id_nageur],$A16,tblSeances[lundi],$B16-7,tblSeances[faite],"oui"),""))</f>
        <v/>
      </c>
      <c r="Q16" s="20">
        <f>IF($A16="","",COUNTIFS(tblSeances[id_nageur],$A16,tblSeances[lundi],$B16,tblSeances[qualite],"casse"))</f>
        <v/>
      </c>
      <c r="R16" s="20">
        <f>IF($A16="","",IFERROR(INDEX(tblNageurs[seances_sem],MATCH($A16,tblNageurs[id],0)),3))</f>
        <v/>
      </c>
    </row>
    <row r="17" ht="28" customHeight="1">
      <c r="A17" s="34" t="n"/>
      <c r="B17" s="35" t="n"/>
      <c r="C17" s="13">
        <f>IF($A17="","",COUNTIFS(tblSeances[id_nageur],$A17,tblSeances[lundi],$B17,tblSeances[faite],"oui"))</f>
        <v/>
      </c>
      <c r="D17" s="13">
        <f>IF($A17="","",SUMIFS(tblSeances[volume_m],tblSeances[id_nageur],$A17,tblSeances[lundi],$B17,tblSeances[faite],"oui"))</f>
        <v/>
      </c>
      <c r="E17" s="16">
        <f>IF($A17="","",IFERROR(AVERAGEIFS(tblSeances[rpe],tblSeances[id_nageur],$A17,tblSeances[lundi],$B17,tblSeances[faite],"oui"),""))</f>
        <v/>
      </c>
      <c r="F17" s="17">
        <f>IF(OR($A17="",O17="",O17=0),"", (D17-O17)/O17)</f>
        <v/>
      </c>
      <c r="G17" s="13">
        <f>IF($A17="","",IFERROR(INDEX(FILTER(tblSeances[type_semaine],(tblSeances[id_nageur]=$A17)*(tblSeances[lundi]=$B17)*(tblSeances[type_semaine]&lt;&gt;"")),1),IF(AND(O17&gt;0,D17&lt;=0.7*O17),"allegee","normale")))</f>
        <v/>
      </c>
      <c r="H17" s="16">
        <f>IF($A17="","",IFERROR(LET(d,MAXIFS(tblSeances[lundi],tblSeances[id_nageur],$A17,tblSeances[type_semaine],"allegee"),IF(d=0,"",($B17-d)/7)),""))</f>
        <v/>
      </c>
      <c r="I17" s="16">
        <f>IF($A17="","",IFERROR(LET(d,MAXIFS(tblTests[date],tblTests[id_nageur],$A17,tblTests[protocole],"T100",tblTests[valide],"oui"),IF(d=0,"",($B17-d)/7)),""))</f>
        <v/>
      </c>
      <c r="J17" s="16">
        <f>IF($A17="","",IFERROR(LET(d,MAXIFS(tblTests[date],tblTests[id_nageur],$A17,tblTests[protocole],"T400",tblTests[valide],"oui"),IF(d=0,"",($B17-d)/7)),""))</f>
        <v/>
      </c>
      <c r="K17" s="16">
        <f>IF($A17="","",IFERROR((XLOOKUP($A17,tblObjectifs[cle_dashboard],tblObjectifs[date_objectif])-$B17)/7,""))</f>
        <v/>
      </c>
      <c r="L17" s="13">
        <f>IF($A17="","",IFS(C17&lt;=1,"",AND(K17&lt;&gt;"",K17&lt;=3),"affutage",G17="allegee","en_cours",AND(H17&lt;&gt;"",H17&gt;=IF(R17&lt;=2,5,3),C17&gt;=IF(R17&lt;=2,2,3)),"due",AND(F17&lt;&gt;"",F17&gt;0.1),"volume_+10%",AND(E17&lt;&gt;"",E17&gt;=8,P17&lt;&gt;"",P17&gt;=8),"rpe_2sem",Q17&gt;=2,"trop_casse",TRUE,""))</f>
        <v/>
      </c>
      <c r="M17" s="13">
        <f>IF($A17="","",IFS(AND(K17&lt;&gt;"",K17&lt;=3),"pas_maintenant",G17="allegee","attendre_fin_deload",AND(E17&lt;&gt;"",E17&gt;=8),"pas_maintenant",AND(I17&lt;&gt;"",I17&gt;=5,J17&lt;&gt;"",J17&gt;=7),"tester_A_et_B",AND(I17&lt;&gt;"",I17&gt;=5),"tester_A",AND(J17&lt;&gt;"",J17&gt;=7),"tester_B",TRUE,""))</f>
        <v/>
      </c>
      <c r="N17" s="15">
        <f>IF($A17="","",TEXTJOIN(" · ",TRUE,IF(L17="due","Deload cette semaine (−30% vol, RPE≤6, pas de max)",""),IF(L17="en_cours","Deload en cours — garder le leger",""),IF(L17="volume_+10%","Volume +10% vs S-1 — alleger S+1",""),IF(L17="rpe_2sem","RPE eleve 2 sem — alleger maintenant",""),IF(L17="trop_casse","Trop de seances cassees — recup cette semaine",""),IF(L17="affutage","Affutage : plus de max, allure de course",""),IF(M17="tester_A","Retest A (T50+T100) apres une seance facile",""),IF(M17="tester_B","Retest B (T200+T400) a frais",""),IF(M17="tester_A_et_B","Retest A cette sem, B la suivante",""),IF(M17="attendre_fin_deload","Retest apres le deload, pas pendant",""),IF(M17="pas_maintenant","Pas de test a fond",""),IF(AND(L17="",M17=""),"Charge OK — semaine normale","")))</f>
        <v/>
      </c>
      <c r="O17" s="13">
        <f>IF($A17="","",SUMIFS(tblSeances[volume_m],tblSeances[id_nageur],$A17,tblSeances[lundi],$B17-7,tblSeances[faite],"oui"))</f>
        <v/>
      </c>
      <c r="P17" s="16">
        <f>IF($A17="","",IFERROR(AVERAGEIFS(tblSeances[rpe],tblSeances[id_nageur],$A17,tblSeances[lundi],$B17-7,tblSeances[faite],"oui"),""))</f>
        <v/>
      </c>
      <c r="Q17" s="13">
        <f>IF($A17="","",COUNTIFS(tblSeances[id_nageur],$A17,tblSeances[lundi],$B17,tblSeances[qualite],"casse"))</f>
        <v/>
      </c>
      <c r="R17" s="13">
        <f>IF($A17="","",IFERROR(INDEX(tblNageurs[seances_sem],MATCH($A17,tblNageurs[id],0)),3))</f>
        <v/>
      </c>
    </row>
    <row r="18" ht="28" customHeight="1">
      <c r="A18" s="34" t="n"/>
      <c r="B18" s="35" t="n"/>
      <c r="C18" s="20">
        <f>IF($A18="","",COUNTIFS(tblSeances[id_nageur],$A18,tblSeances[lundi],$B18,tblSeances[faite],"oui"))</f>
        <v/>
      </c>
      <c r="D18" s="20">
        <f>IF($A18="","",SUMIFS(tblSeances[volume_m],tblSeances[id_nageur],$A18,tblSeances[lundi],$B18,tblSeances[faite],"oui"))</f>
        <v/>
      </c>
      <c r="E18" s="23">
        <f>IF($A18="","",IFERROR(AVERAGEIFS(tblSeances[rpe],tblSeances[id_nageur],$A18,tblSeances[lundi],$B18,tblSeances[faite],"oui"),""))</f>
        <v/>
      </c>
      <c r="F18" s="24">
        <f>IF(OR($A18="",O18="",O18=0),"", (D18-O18)/O18)</f>
        <v/>
      </c>
      <c r="G18" s="20">
        <f>IF($A18="","",IFERROR(INDEX(FILTER(tblSeances[type_semaine],(tblSeances[id_nageur]=$A18)*(tblSeances[lundi]=$B18)*(tblSeances[type_semaine]&lt;&gt;"")),1),IF(AND(O18&gt;0,D18&lt;=0.7*O18),"allegee","normale")))</f>
        <v/>
      </c>
      <c r="H18" s="23">
        <f>IF($A18="","",IFERROR(LET(d,MAXIFS(tblSeances[lundi],tblSeances[id_nageur],$A18,tblSeances[type_semaine],"allegee"),IF(d=0,"",($B18-d)/7)),""))</f>
        <v/>
      </c>
      <c r="I18" s="23">
        <f>IF($A18="","",IFERROR(LET(d,MAXIFS(tblTests[date],tblTests[id_nageur],$A18,tblTests[protocole],"T100",tblTests[valide],"oui"),IF(d=0,"",($B18-d)/7)),""))</f>
        <v/>
      </c>
      <c r="J18" s="23">
        <f>IF($A18="","",IFERROR(LET(d,MAXIFS(tblTests[date],tblTests[id_nageur],$A18,tblTests[protocole],"T400",tblTests[valide],"oui"),IF(d=0,"",($B18-d)/7)),""))</f>
        <v/>
      </c>
      <c r="K18" s="23">
        <f>IF($A18="","",IFERROR((XLOOKUP($A18,tblObjectifs[cle_dashboard],tblObjectifs[date_objectif])-$B18)/7,""))</f>
        <v/>
      </c>
      <c r="L18" s="20">
        <f>IF($A18="","",IFS(C18&lt;=1,"",AND(K18&lt;&gt;"",K18&lt;=3),"affutage",G18="allegee","en_cours",AND(H18&lt;&gt;"",H18&gt;=IF(R18&lt;=2,5,3),C18&gt;=IF(R18&lt;=2,2,3)),"due",AND(F18&lt;&gt;"",F18&gt;0.1),"volume_+10%",AND(E18&lt;&gt;"",E18&gt;=8,P18&lt;&gt;"",P18&gt;=8),"rpe_2sem",Q18&gt;=2,"trop_casse",TRUE,""))</f>
        <v/>
      </c>
      <c r="M18" s="20">
        <f>IF($A18="","",IFS(AND(K18&lt;&gt;"",K18&lt;=3),"pas_maintenant",G18="allegee","attendre_fin_deload",AND(E18&lt;&gt;"",E18&gt;=8),"pas_maintenant",AND(I18&lt;&gt;"",I18&gt;=5,J18&lt;&gt;"",J18&gt;=7),"tester_A_et_B",AND(I18&lt;&gt;"",I18&gt;=5),"tester_A",AND(J18&lt;&gt;"",J18&gt;=7),"tester_B",TRUE,""))</f>
        <v/>
      </c>
      <c r="N18" s="22">
        <f>IF($A18="","",TEXTJOIN(" · ",TRUE,IF(L18="due","Deload cette semaine (−30% vol, RPE≤6, pas de max)",""),IF(L18="en_cours","Deload en cours — garder le leger",""),IF(L18="volume_+10%","Volume +10% vs S-1 — alleger S+1",""),IF(L18="rpe_2sem","RPE eleve 2 sem — alleger maintenant",""),IF(L18="trop_casse","Trop de seances cassees — recup cette semaine",""),IF(L18="affutage","Affutage : plus de max, allure de course",""),IF(M18="tester_A","Retest A (T50+T100) apres une seance facile",""),IF(M18="tester_B","Retest B (T200+T400) a frais",""),IF(M18="tester_A_et_B","Retest A cette sem, B la suivante",""),IF(M18="attendre_fin_deload","Retest apres le deload, pas pendant",""),IF(M18="pas_maintenant","Pas de test a fond",""),IF(AND(L18="",M18=""),"Charge OK — semaine normale","")))</f>
        <v/>
      </c>
      <c r="O18" s="20">
        <f>IF($A18="","",SUMIFS(tblSeances[volume_m],tblSeances[id_nageur],$A18,tblSeances[lundi],$B18-7,tblSeances[faite],"oui"))</f>
        <v/>
      </c>
      <c r="P18" s="23">
        <f>IF($A18="","",IFERROR(AVERAGEIFS(tblSeances[rpe],tblSeances[id_nageur],$A18,tblSeances[lundi],$B18-7,tblSeances[faite],"oui"),""))</f>
        <v/>
      </c>
      <c r="Q18" s="20">
        <f>IF($A18="","",COUNTIFS(tblSeances[id_nageur],$A18,tblSeances[lundi],$B18,tblSeances[qualite],"casse"))</f>
        <v/>
      </c>
      <c r="R18" s="20">
        <f>IF($A18="","",IFERROR(INDEX(tblNageurs[seances_sem],MATCH($A18,tblNageurs[id],0)),3))</f>
        <v/>
      </c>
    </row>
    <row r="19" ht="28" customHeight="1">
      <c r="A19" s="34" t="n"/>
      <c r="B19" s="35" t="n"/>
      <c r="C19" s="13">
        <f>IF($A19="","",COUNTIFS(tblSeances[id_nageur],$A19,tblSeances[lundi],$B19,tblSeances[faite],"oui"))</f>
        <v/>
      </c>
      <c r="D19" s="13">
        <f>IF($A19="","",SUMIFS(tblSeances[volume_m],tblSeances[id_nageur],$A19,tblSeances[lundi],$B19,tblSeances[faite],"oui"))</f>
        <v/>
      </c>
      <c r="E19" s="16">
        <f>IF($A19="","",IFERROR(AVERAGEIFS(tblSeances[rpe],tblSeances[id_nageur],$A19,tblSeances[lundi],$B19,tblSeances[faite],"oui"),""))</f>
        <v/>
      </c>
      <c r="F19" s="17">
        <f>IF(OR($A19="",O19="",O19=0),"", (D19-O19)/O19)</f>
        <v/>
      </c>
      <c r="G19" s="13">
        <f>IF($A19="","",IFERROR(INDEX(FILTER(tblSeances[type_semaine],(tblSeances[id_nageur]=$A19)*(tblSeances[lundi]=$B19)*(tblSeances[type_semaine]&lt;&gt;"")),1),IF(AND(O19&gt;0,D19&lt;=0.7*O19),"allegee","normale")))</f>
        <v/>
      </c>
      <c r="H19" s="16">
        <f>IF($A19="","",IFERROR(LET(d,MAXIFS(tblSeances[lundi],tblSeances[id_nageur],$A19,tblSeances[type_semaine],"allegee"),IF(d=0,"",($B19-d)/7)),""))</f>
        <v/>
      </c>
      <c r="I19" s="16">
        <f>IF($A19="","",IFERROR(LET(d,MAXIFS(tblTests[date],tblTests[id_nageur],$A19,tblTests[protocole],"T100",tblTests[valide],"oui"),IF(d=0,"",($B19-d)/7)),""))</f>
        <v/>
      </c>
      <c r="J19" s="16">
        <f>IF($A19="","",IFERROR(LET(d,MAXIFS(tblTests[date],tblTests[id_nageur],$A19,tblTests[protocole],"T400",tblTests[valide],"oui"),IF(d=0,"",($B19-d)/7)),""))</f>
        <v/>
      </c>
      <c r="K19" s="16">
        <f>IF($A19="","",IFERROR((XLOOKUP($A19,tblObjectifs[cle_dashboard],tblObjectifs[date_objectif])-$B19)/7,""))</f>
        <v/>
      </c>
      <c r="L19" s="13">
        <f>IF($A19="","",IFS(C19&lt;=1,"",AND(K19&lt;&gt;"",K19&lt;=3),"affutage",G19="allegee","en_cours",AND(H19&lt;&gt;"",H19&gt;=IF(R19&lt;=2,5,3),C19&gt;=IF(R19&lt;=2,2,3)),"due",AND(F19&lt;&gt;"",F19&gt;0.1),"volume_+10%",AND(E19&lt;&gt;"",E19&gt;=8,P19&lt;&gt;"",P19&gt;=8),"rpe_2sem",Q19&gt;=2,"trop_casse",TRUE,""))</f>
        <v/>
      </c>
      <c r="M19" s="13">
        <f>IF($A19="","",IFS(AND(K19&lt;&gt;"",K19&lt;=3),"pas_maintenant",G19="allegee","attendre_fin_deload",AND(E19&lt;&gt;"",E19&gt;=8),"pas_maintenant",AND(I19&lt;&gt;"",I19&gt;=5,J19&lt;&gt;"",J19&gt;=7),"tester_A_et_B",AND(I19&lt;&gt;"",I19&gt;=5),"tester_A",AND(J19&lt;&gt;"",J19&gt;=7),"tester_B",TRUE,""))</f>
        <v/>
      </c>
      <c r="N19" s="15">
        <f>IF($A19="","",TEXTJOIN(" · ",TRUE,IF(L19="due","Deload cette semaine (−30% vol, RPE≤6, pas de max)",""),IF(L19="en_cours","Deload en cours — garder le leger",""),IF(L19="volume_+10%","Volume +10% vs S-1 — alleger S+1",""),IF(L19="rpe_2sem","RPE eleve 2 sem — alleger maintenant",""),IF(L19="trop_casse","Trop de seances cassees — recup cette semaine",""),IF(L19="affutage","Affutage : plus de max, allure de course",""),IF(M19="tester_A","Retest A (T50+T100) apres une seance facile",""),IF(M19="tester_B","Retest B (T200+T400) a frais",""),IF(M19="tester_A_et_B","Retest A cette sem, B la suivante",""),IF(M19="attendre_fin_deload","Retest apres le deload, pas pendant",""),IF(M19="pas_maintenant","Pas de test a fond",""),IF(AND(L19="",M19=""),"Charge OK — semaine normale","")))</f>
        <v/>
      </c>
      <c r="O19" s="13">
        <f>IF($A19="","",SUMIFS(tblSeances[volume_m],tblSeances[id_nageur],$A19,tblSeances[lundi],$B19-7,tblSeances[faite],"oui"))</f>
        <v/>
      </c>
      <c r="P19" s="16">
        <f>IF($A19="","",IFERROR(AVERAGEIFS(tblSeances[rpe],tblSeances[id_nageur],$A19,tblSeances[lundi],$B19-7,tblSeances[faite],"oui"),""))</f>
        <v/>
      </c>
      <c r="Q19" s="13">
        <f>IF($A19="","",COUNTIFS(tblSeances[id_nageur],$A19,tblSeances[lundi],$B19,tblSeances[qualite],"casse"))</f>
        <v/>
      </c>
      <c r="R19" s="13">
        <f>IF($A19="","",IFERROR(INDEX(tblNageurs[seances_sem],MATCH($A19,tblNageurs[id],0)),3))</f>
        <v/>
      </c>
    </row>
    <row r="20" ht="28" customHeight="1">
      <c r="A20" s="34" t="n"/>
      <c r="B20" s="35" t="n"/>
      <c r="C20" s="20">
        <f>IF($A20="","",COUNTIFS(tblSeances[id_nageur],$A20,tblSeances[lundi],$B20,tblSeances[faite],"oui"))</f>
        <v/>
      </c>
      <c r="D20" s="20">
        <f>IF($A20="","",SUMIFS(tblSeances[volume_m],tblSeances[id_nageur],$A20,tblSeances[lundi],$B20,tblSeances[faite],"oui"))</f>
        <v/>
      </c>
      <c r="E20" s="23">
        <f>IF($A20="","",IFERROR(AVERAGEIFS(tblSeances[rpe],tblSeances[id_nageur],$A20,tblSeances[lundi],$B20,tblSeances[faite],"oui"),""))</f>
        <v/>
      </c>
      <c r="F20" s="24">
        <f>IF(OR($A20="",O20="",O20=0),"", (D20-O20)/O20)</f>
        <v/>
      </c>
      <c r="G20" s="20">
        <f>IF($A20="","",IFERROR(INDEX(FILTER(tblSeances[type_semaine],(tblSeances[id_nageur]=$A20)*(tblSeances[lundi]=$B20)*(tblSeances[type_semaine]&lt;&gt;"")),1),IF(AND(O20&gt;0,D20&lt;=0.7*O20),"allegee","normale")))</f>
        <v/>
      </c>
      <c r="H20" s="23">
        <f>IF($A20="","",IFERROR(LET(d,MAXIFS(tblSeances[lundi],tblSeances[id_nageur],$A20,tblSeances[type_semaine],"allegee"),IF(d=0,"",($B20-d)/7)),""))</f>
        <v/>
      </c>
      <c r="I20" s="23">
        <f>IF($A20="","",IFERROR(LET(d,MAXIFS(tblTests[date],tblTests[id_nageur],$A20,tblTests[protocole],"T100",tblTests[valide],"oui"),IF(d=0,"",($B20-d)/7)),""))</f>
        <v/>
      </c>
      <c r="J20" s="23">
        <f>IF($A20="","",IFERROR(LET(d,MAXIFS(tblTests[date],tblTests[id_nageur],$A20,tblTests[protocole],"T400",tblTests[valide],"oui"),IF(d=0,"",($B20-d)/7)),""))</f>
        <v/>
      </c>
      <c r="K20" s="23">
        <f>IF($A20="","",IFERROR((XLOOKUP($A20,tblObjectifs[cle_dashboard],tblObjectifs[date_objectif])-$B20)/7,""))</f>
        <v/>
      </c>
      <c r="L20" s="20">
        <f>IF($A20="","",IFS(C20&lt;=1,"",AND(K20&lt;&gt;"",K20&lt;=3),"affutage",G20="allegee","en_cours",AND(H20&lt;&gt;"",H20&gt;=IF(R20&lt;=2,5,3),C20&gt;=IF(R20&lt;=2,2,3)),"due",AND(F20&lt;&gt;"",F20&gt;0.1),"volume_+10%",AND(E20&lt;&gt;"",E20&gt;=8,P20&lt;&gt;"",P20&gt;=8),"rpe_2sem",Q20&gt;=2,"trop_casse",TRUE,""))</f>
        <v/>
      </c>
      <c r="M20" s="20">
        <f>IF($A20="","",IFS(AND(K20&lt;&gt;"",K20&lt;=3),"pas_maintenant",G20="allegee","attendre_fin_deload",AND(E20&lt;&gt;"",E20&gt;=8),"pas_maintenant",AND(I20&lt;&gt;"",I20&gt;=5,J20&lt;&gt;"",J20&gt;=7),"tester_A_et_B",AND(I20&lt;&gt;"",I20&gt;=5),"tester_A",AND(J20&lt;&gt;"",J20&gt;=7),"tester_B",TRUE,""))</f>
        <v/>
      </c>
      <c r="N20" s="22">
        <f>IF($A20="","",TEXTJOIN(" · ",TRUE,IF(L20="due","Deload cette semaine (−30% vol, RPE≤6, pas de max)",""),IF(L20="en_cours","Deload en cours — garder le leger",""),IF(L20="volume_+10%","Volume +10% vs S-1 — alleger S+1",""),IF(L20="rpe_2sem","RPE eleve 2 sem — alleger maintenant",""),IF(L20="trop_casse","Trop de seances cassees — recup cette semaine",""),IF(L20="affutage","Affutage : plus de max, allure de course",""),IF(M20="tester_A","Retest A (T50+T100) apres une seance facile",""),IF(M20="tester_B","Retest B (T200+T400) a frais",""),IF(M20="tester_A_et_B","Retest A cette sem, B la suivante",""),IF(M20="attendre_fin_deload","Retest apres le deload, pas pendant",""),IF(M20="pas_maintenant","Pas de test a fond",""),IF(AND(L20="",M20=""),"Charge OK — semaine normale","")))</f>
        <v/>
      </c>
      <c r="O20" s="20">
        <f>IF($A20="","",SUMIFS(tblSeances[volume_m],tblSeances[id_nageur],$A20,tblSeances[lundi],$B20-7,tblSeances[faite],"oui"))</f>
        <v/>
      </c>
      <c r="P20" s="23">
        <f>IF($A20="","",IFERROR(AVERAGEIFS(tblSeances[rpe],tblSeances[id_nageur],$A20,tblSeances[lundi],$B20-7,tblSeances[faite],"oui"),""))</f>
        <v/>
      </c>
      <c r="Q20" s="20">
        <f>IF($A20="","",COUNTIFS(tblSeances[id_nageur],$A20,tblSeances[lundi],$B20,tblSeances[qualite],"casse"))</f>
        <v/>
      </c>
      <c r="R20" s="20">
        <f>IF($A20="","",IFERROR(INDEX(tblNageurs[seances_sem],MATCH($A20,tblNageurs[id],0)),3))</f>
        <v/>
      </c>
    </row>
    <row r="21" ht="28" customHeight="1">
      <c r="A21" s="34" t="n"/>
      <c r="B21" s="35" t="n"/>
      <c r="C21" s="13">
        <f>IF($A21="","",COUNTIFS(tblSeances[id_nageur],$A21,tblSeances[lundi],$B21,tblSeances[faite],"oui"))</f>
        <v/>
      </c>
      <c r="D21" s="13">
        <f>IF($A21="","",SUMIFS(tblSeances[volume_m],tblSeances[id_nageur],$A21,tblSeances[lundi],$B21,tblSeances[faite],"oui"))</f>
        <v/>
      </c>
      <c r="E21" s="16">
        <f>IF($A21="","",IFERROR(AVERAGEIFS(tblSeances[rpe],tblSeances[id_nageur],$A21,tblSeances[lundi],$B21,tblSeances[faite],"oui"),""))</f>
        <v/>
      </c>
      <c r="F21" s="17">
        <f>IF(OR($A21="",O21="",O21=0),"", (D21-O21)/O21)</f>
        <v/>
      </c>
      <c r="G21" s="13">
        <f>IF($A21="","",IFERROR(INDEX(FILTER(tblSeances[type_semaine],(tblSeances[id_nageur]=$A21)*(tblSeances[lundi]=$B21)*(tblSeances[type_semaine]&lt;&gt;"")),1),IF(AND(O21&gt;0,D21&lt;=0.7*O21),"allegee","normale")))</f>
        <v/>
      </c>
      <c r="H21" s="16">
        <f>IF($A21="","",IFERROR(LET(d,MAXIFS(tblSeances[lundi],tblSeances[id_nageur],$A21,tblSeances[type_semaine],"allegee"),IF(d=0,"",($B21-d)/7)),""))</f>
        <v/>
      </c>
      <c r="I21" s="16">
        <f>IF($A21="","",IFERROR(LET(d,MAXIFS(tblTests[date],tblTests[id_nageur],$A21,tblTests[protocole],"T100",tblTests[valide],"oui"),IF(d=0,"",($B21-d)/7)),""))</f>
        <v/>
      </c>
      <c r="J21" s="16">
        <f>IF($A21="","",IFERROR(LET(d,MAXIFS(tblTests[date],tblTests[id_nageur],$A21,tblTests[protocole],"T400",tblTests[valide],"oui"),IF(d=0,"",($B21-d)/7)),""))</f>
        <v/>
      </c>
      <c r="K21" s="16">
        <f>IF($A21="","",IFERROR((XLOOKUP($A21,tblObjectifs[cle_dashboard],tblObjectifs[date_objectif])-$B21)/7,""))</f>
        <v/>
      </c>
      <c r="L21" s="13">
        <f>IF($A21="","",IFS(C21&lt;=1,"",AND(K21&lt;&gt;"",K21&lt;=3),"affutage",G21="allegee","en_cours",AND(H21&lt;&gt;"",H21&gt;=IF(R21&lt;=2,5,3),C21&gt;=IF(R21&lt;=2,2,3)),"due",AND(F21&lt;&gt;"",F21&gt;0.1),"volume_+10%",AND(E21&lt;&gt;"",E21&gt;=8,P21&lt;&gt;"",P21&gt;=8),"rpe_2sem",Q21&gt;=2,"trop_casse",TRUE,""))</f>
        <v/>
      </c>
      <c r="M21" s="13">
        <f>IF($A21="","",IFS(AND(K21&lt;&gt;"",K21&lt;=3),"pas_maintenant",G21="allegee","attendre_fin_deload",AND(E21&lt;&gt;"",E21&gt;=8),"pas_maintenant",AND(I21&lt;&gt;"",I21&gt;=5,J21&lt;&gt;"",J21&gt;=7),"tester_A_et_B",AND(I21&lt;&gt;"",I21&gt;=5),"tester_A",AND(J21&lt;&gt;"",J21&gt;=7),"tester_B",TRUE,""))</f>
        <v/>
      </c>
      <c r="N21" s="15">
        <f>IF($A21="","",TEXTJOIN(" · ",TRUE,IF(L21="due","Deload cette semaine (−30% vol, RPE≤6, pas de max)",""),IF(L21="en_cours","Deload en cours — garder le leger",""),IF(L21="volume_+10%","Volume +10% vs S-1 — alleger S+1",""),IF(L21="rpe_2sem","RPE eleve 2 sem — alleger maintenant",""),IF(L21="trop_casse","Trop de seances cassees — recup cette semaine",""),IF(L21="affutage","Affutage : plus de max, allure de course",""),IF(M21="tester_A","Retest A (T50+T100) apres une seance facile",""),IF(M21="tester_B","Retest B (T200+T400) a frais",""),IF(M21="tester_A_et_B","Retest A cette sem, B la suivante",""),IF(M21="attendre_fin_deload","Retest apres le deload, pas pendant",""),IF(M21="pas_maintenant","Pas de test a fond",""),IF(AND(L21="",M21=""),"Charge OK — semaine normale","")))</f>
        <v/>
      </c>
      <c r="O21" s="13">
        <f>IF($A21="","",SUMIFS(tblSeances[volume_m],tblSeances[id_nageur],$A21,tblSeances[lundi],$B21-7,tblSeances[faite],"oui"))</f>
        <v/>
      </c>
      <c r="P21" s="16">
        <f>IF($A21="","",IFERROR(AVERAGEIFS(tblSeances[rpe],tblSeances[id_nageur],$A21,tblSeances[lundi],$B21-7,tblSeances[faite],"oui"),""))</f>
        <v/>
      </c>
      <c r="Q21" s="13">
        <f>IF($A21="","",COUNTIFS(tblSeances[id_nageur],$A21,tblSeances[lundi],$B21,tblSeances[qualite],"casse"))</f>
        <v/>
      </c>
      <c r="R21" s="13">
        <f>IF($A21="","",IFERROR(INDEX(tblNageurs[seances_sem],MATCH($A21,tblNageurs[id],0)),3))</f>
        <v/>
      </c>
    </row>
    <row r="22" ht="28" customHeight="1">
      <c r="A22" s="34" t="n"/>
      <c r="B22" s="35" t="n"/>
      <c r="C22" s="20">
        <f>IF($A22="","",COUNTIFS(tblSeances[id_nageur],$A22,tblSeances[lundi],$B22,tblSeances[faite],"oui"))</f>
        <v/>
      </c>
      <c r="D22" s="20">
        <f>IF($A22="","",SUMIFS(tblSeances[volume_m],tblSeances[id_nageur],$A22,tblSeances[lundi],$B22,tblSeances[faite],"oui"))</f>
        <v/>
      </c>
      <c r="E22" s="23">
        <f>IF($A22="","",IFERROR(AVERAGEIFS(tblSeances[rpe],tblSeances[id_nageur],$A22,tblSeances[lundi],$B22,tblSeances[faite],"oui"),""))</f>
        <v/>
      </c>
      <c r="F22" s="24">
        <f>IF(OR($A22="",O22="",O22=0),"", (D22-O22)/O22)</f>
        <v/>
      </c>
      <c r="G22" s="20">
        <f>IF($A22="","",IFERROR(INDEX(FILTER(tblSeances[type_semaine],(tblSeances[id_nageur]=$A22)*(tblSeances[lundi]=$B22)*(tblSeances[type_semaine]&lt;&gt;"")),1),IF(AND(O22&gt;0,D22&lt;=0.7*O22),"allegee","normale")))</f>
        <v/>
      </c>
      <c r="H22" s="23">
        <f>IF($A22="","",IFERROR(LET(d,MAXIFS(tblSeances[lundi],tblSeances[id_nageur],$A22,tblSeances[type_semaine],"allegee"),IF(d=0,"",($B22-d)/7)),""))</f>
        <v/>
      </c>
      <c r="I22" s="23">
        <f>IF($A22="","",IFERROR(LET(d,MAXIFS(tblTests[date],tblTests[id_nageur],$A22,tblTests[protocole],"T100",tblTests[valide],"oui"),IF(d=0,"",($B22-d)/7)),""))</f>
        <v/>
      </c>
      <c r="J22" s="23">
        <f>IF($A22="","",IFERROR(LET(d,MAXIFS(tblTests[date],tblTests[id_nageur],$A22,tblTests[protocole],"T400",tblTests[valide],"oui"),IF(d=0,"",($B22-d)/7)),""))</f>
        <v/>
      </c>
      <c r="K22" s="23">
        <f>IF($A22="","",IFERROR((XLOOKUP($A22,tblObjectifs[cle_dashboard],tblObjectifs[date_objectif])-$B22)/7,""))</f>
        <v/>
      </c>
      <c r="L22" s="20">
        <f>IF($A22="","",IFS(C22&lt;=1,"",AND(K22&lt;&gt;"",K22&lt;=3),"affutage",G22="allegee","en_cours",AND(H22&lt;&gt;"",H22&gt;=IF(R22&lt;=2,5,3),C22&gt;=IF(R22&lt;=2,2,3)),"due",AND(F22&lt;&gt;"",F22&gt;0.1),"volume_+10%",AND(E22&lt;&gt;"",E22&gt;=8,P22&lt;&gt;"",P22&gt;=8),"rpe_2sem",Q22&gt;=2,"trop_casse",TRUE,""))</f>
        <v/>
      </c>
      <c r="M22" s="20">
        <f>IF($A22="","",IFS(AND(K22&lt;&gt;"",K22&lt;=3),"pas_maintenant",G22="allegee","attendre_fin_deload",AND(E22&lt;&gt;"",E22&gt;=8),"pas_maintenant",AND(I22&lt;&gt;"",I22&gt;=5,J22&lt;&gt;"",J22&gt;=7),"tester_A_et_B",AND(I22&lt;&gt;"",I22&gt;=5),"tester_A",AND(J22&lt;&gt;"",J22&gt;=7),"tester_B",TRUE,""))</f>
        <v/>
      </c>
      <c r="N22" s="22">
        <f>IF($A22="","",TEXTJOIN(" · ",TRUE,IF(L22="due","Deload cette semaine (−30% vol, RPE≤6, pas de max)",""),IF(L22="en_cours","Deload en cours — garder le leger",""),IF(L22="volume_+10%","Volume +10% vs S-1 — alleger S+1",""),IF(L22="rpe_2sem","RPE eleve 2 sem — alleger maintenant",""),IF(L22="trop_casse","Trop de seances cassees — recup cette semaine",""),IF(L22="affutage","Affutage : plus de max, allure de course",""),IF(M22="tester_A","Retest A (T50+T100) apres une seance facile",""),IF(M22="tester_B","Retest B (T200+T400) a frais",""),IF(M22="tester_A_et_B","Retest A cette sem, B la suivante",""),IF(M22="attendre_fin_deload","Retest apres le deload, pas pendant",""),IF(M22="pas_maintenant","Pas de test a fond",""),IF(AND(L22="",M22=""),"Charge OK — semaine normale","")))</f>
        <v/>
      </c>
      <c r="O22" s="20">
        <f>IF($A22="","",SUMIFS(tblSeances[volume_m],tblSeances[id_nageur],$A22,tblSeances[lundi],$B22-7,tblSeances[faite],"oui"))</f>
        <v/>
      </c>
      <c r="P22" s="23">
        <f>IF($A22="","",IFERROR(AVERAGEIFS(tblSeances[rpe],tblSeances[id_nageur],$A22,tblSeances[lundi],$B22-7,tblSeances[faite],"oui"),""))</f>
        <v/>
      </c>
      <c r="Q22" s="20">
        <f>IF($A22="","",COUNTIFS(tblSeances[id_nageur],$A22,tblSeances[lundi],$B22,tblSeances[qualite],"casse"))</f>
        <v/>
      </c>
      <c r="R22" s="20">
        <f>IF($A22="","",IFERROR(INDEX(tblNageurs[seances_sem],MATCH($A22,tblNageurs[id],0)),3))</f>
        <v/>
      </c>
    </row>
    <row r="23" ht="28" customHeight="1">
      <c r="A23" s="34" t="n"/>
      <c r="B23" s="35" t="n"/>
      <c r="C23" s="13">
        <f>IF($A23="","",COUNTIFS(tblSeances[id_nageur],$A23,tblSeances[lundi],$B23,tblSeances[faite],"oui"))</f>
        <v/>
      </c>
      <c r="D23" s="13">
        <f>IF($A23="","",SUMIFS(tblSeances[volume_m],tblSeances[id_nageur],$A23,tblSeances[lundi],$B23,tblSeances[faite],"oui"))</f>
        <v/>
      </c>
      <c r="E23" s="16">
        <f>IF($A23="","",IFERROR(AVERAGEIFS(tblSeances[rpe],tblSeances[id_nageur],$A23,tblSeances[lundi],$B23,tblSeances[faite],"oui"),""))</f>
        <v/>
      </c>
      <c r="F23" s="17">
        <f>IF(OR($A23="",O23="",O23=0),"", (D23-O23)/O23)</f>
        <v/>
      </c>
      <c r="G23" s="13">
        <f>IF($A23="","",IFERROR(INDEX(FILTER(tblSeances[type_semaine],(tblSeances[id_nageur]=$A23)*(tblSeances[lundi]=$B23)*(tblSeances[type_semaine]&lt;&gt;"")),1),IF(AND(O23&gt;0,D23&lt;=0.7*O23),"allegee","normale")))</f>
        <v/>
      </c>
      <c r="H23" s="16">
        <f>IF($A23="","",IFERROR(LET(d,MAXIFS(tblSeances[lundi],tblSeances[id_nageur],$A23,tblSeances[type_semaine],"allegee"),IF(d=0,"",($B23-d)/7)),""))</f>
        <v/>
      </c>
      <c r="I23" s="16">
        <f>IF($A23="","",IFERROR(LET(d,MAXIFS(tblTests[date],tblTests[id_nageur],$A23,tblTests[protocole],"T100",tblTests[valide],"oui"),IF(d=0,"",($B23-d)/7)),""))</f>
        <v/>
      </c>
      <c r="J23" s="16">
        <f>IF($A23="","",IFERROR(LET(d,MAXIFS(tblTests[date],tblTests[id_nageur],$A23,tblTests[protocole],"T400",tblTests[valide],"oui"),IF(d=0,"",($B23-d)/7)),""))</f>
        <v/>
      </c>
      <c r="K23" s="16">
        <f>IF($A23="","",IFERROR((XLOOKUP($A23,tblObjectifs[cle_dashboard],tblObjectifs[date_objectif])-$B23)/7,""))</f>
        <v/>
      </c>
      <c r="L23" s="13">
        <f>IF($A23="","",IFS(C23&lt;=1,"",AND(K23&lt;&gt;"",K23&lt;=3),"affutage",G23="allegee","en_cours",AND(H23&lt;&gt;"",H23&gt;=IF(R23&lt;=2,5,3),C23&gt;=IF(R23&lt;=2,2,3)),"due",AND(F23&lt;&gt;"",F23&gt;0.1),"volume_+10%",AND(E23&lt;&gt;"",E23&gt;=8,P23&lt;&gt;"",P23&gt;=8),"rpe_2sem",Q23&gt;=2,"trop_casse",TRUE,""))</f>
        <v/>
      </c>
      <c r="M23" s="13">
        <f>IF($A23="","",IFS(AND(K23&lt;&gt;"",K23&lt;=3),"pas_maintenant",G23="allegee","attendre_fin_deload",AND(E23&lt;&gt;"",E23&gt;=8),"pas_maintenant",AND(I23&lt;&gt;"",I23&gt;=5,J23&lt;&gt;"",J23&gt;=7),"tester_A_et_B",AND(I23&lt;&gt;"",I23&gt;=5),"tester_A",AND(J23&lt;&gt;"",J23&gt;=7),"tester_B",TRUE,""))</f>
        <v/>
      </c>
      <c r="N23" s="15">
        <f>IF($A23="","",TEXTJOIN(" · ",TRUE,IF(L23="due","Deload cette semaine (−30% vol, RPE≤6, pas de max)",""),IF(L23="en_cours","Deload en cours — garder le leger",""),IF(L23="volume_+10%","Volume +10% vs S-1 — alleger S+1",""),IF(L23="rpe_2sem","RPE eleve 2 sem — alleger maintenant",""),IF(L23="trop_casse","Trop de seances cassees — recup cette semaine",""),IF(L23="affutage","Affutage : plus de max, allure de course",""),IF(M23="tester_A","Retest A (T50+T100) apres une seance facile",""),IF(M23="tester_B","Retest B (T200+T400) a frais",""),IF(M23="tester_A_et_B","Retest A cette sem, B la suivante",""),IF(M23="attendre_fin_deload","Retest apres le deload, pas pendant",""),IF(M23="pas_maintenant","Pas de test a fond",""),IF(AND(L23="",M23=""),"Charge OK — semaine normale","")))</f>
        <v/>
      </c>
      <c r="O23" s="13">
        <f>IF($A23="","",SUMIFS(tblSeances[volume_m],tblSeances[id_nageur],$A23,tblSeances[lundi],$B23-7,tblSeances[faite],"oui"))</f>
        <v/>
      </c>
      <c r="P23" s="16">
        <f>IF($A23="","",IFERROR(AVERAGEIFS(tblSeances[rpe],tblSeances[id_nageur],$A23,tblSeances[lundi],$B23-7,tblSeances[faite],"oui"),""))</f>
        <v/>
      </c>
      <c r="Q23" s="13">
        <f>IF($A23="","",COUNTIFS(tblSeances[id_nageur],$A23,tblSeances[lundi],$B23,tblSeances[qualite],"casse"))</f>
        <v/>
      </c>
      <c r="R23" s="13">
        <f>IF($A23="","",IFERROR(INDEX(tblNageurs[seances_sem],MATCH($A23,tblNageurs[id],0)),3))</f>
        <v/>
      </c>
    </row>
    <row r="24" ht="28" customHeight="1">
      <c r="A24" s="34" t="n"/>
      <c r="B24" s="35" t="n"/>
      <c r="C24" s="20">
        <f>IF($A24="","",COUNTIFS(tblSeances[id_nageur],$A24,tblSeances[lundi],$B24,tblSeances[faite],"oui"))</f>
        <v/>
      </c>
      <c r="D24" s="20">
        <f>IF($A24="","",SUMIFS(tblSeances[volume_m],tblSeances[id_nageur],$A24,tblSeances[lundi],$B24,tblSeances[faite],"oui"))</f>
        <v/>
      </c>
      <c r="E24" s="23">
        <f>IF($A24="","",IFERROR(AVERAGEIFS(tblSeances[rpe],tblSeances[id_nageur],$A24,tblSeances[lundi],$B24,tblSeances[faite],"oui"),""))</f>
        <v/>
      </c>
      <c r="F24" s="24">
        <f>IF(OR($A24="",O24="",O24=0),"", (D24-O24)/O24)</f>
        <v/>
      </c>
      <c r="G24" s="20">
        <f>IF($A24="","",IFERROR(INDEX(FILTER(tblSeances[type_semaine],(tblSeances[id_nageur]=$A24)*(tblSeances[lundi]=$B24)*(tblSeances[type_semaine]&lt;&gt;"")),1),IF(AND(O24&gt;0,D24&lt;=0.7*O24),"allegee","normale")))</f>
        <v/>
      </c>
      <c r="H24" s="23">
        <f>IF($A24="","",IFERROR(LET(d,MAXIFS(tblSeances[lundi],tblSeances[id_nageur],$A24,tblSeances[type_semaine],"allegee"),IF(d=0,"",($B24-d)/7)),""))</f>
        <v/>
      </c>
      <c r="I24" s="23">
        <f>IF($A24="","",IFERROR(LET(d,MAXIFS(tblTests[date],tblTests[id_nageur],$A24,tblTests[protocole],"T100",tblTests[valide],"oui"),IF(d=0,"",($B24-d)/7)),""))</f>
        <v/>
      </c>
      <c r="J24" s="23">
        <f>IF($A24="","",IFERROR(LET(d,MAXIFS(tblTests[date],tblTests[id_nageur],$A24,tblTests[protocole],"T400",tblTests[valide],"oui"),IF(d=0,"",($B24-d)/7)),""))</f>
        <v/>
      </c>
      <c r="K24" s="23">
        <f>IF($A24="","",IFERROR((XLOOKUP($A24,tblObjectifs[cle_dashboard],tblObjectifs[date_objectif])-$B24)/7,""))</f>
        <v/>
      </c>
      <c r="L24" s="20">
        <f>IF($A24="","",IFS(C24&lt;=1,"",AND(K24&lt;&gt;"",K24&lt;=3),"affutage",G24="allegee","en_cours",AND(H24&lt;&gt;"",H24&gt;=IF(R24&lt;=2,5,3),C24&gt;=IF(R24&lt;=2,2,3)),"due",AND(F24&lt;&gt;"",F24&gt;0.1),"volume_+10%",AND(E24&lt;&gt;"",E24&gt;=8,P24&lt;&gt;"",P24&gt;=8),"rpe_2sem",Q24&gt;=2,"trop_casse",TRUE,""))</f>
        <v/>
      </c>
      <c r="M24" s="20">
        <f>IF($A24="","",IFS(AND(K24&lt;&gt;"",K24&lt;=3),"pas_maintenant",G24="allegee","attendre_fin_deload",AND(E24&lt;&gt;"",E24&gt;=8),"pas_maintenant",AND(I24&lt;&gt;"",I24&gt;=5,J24&lt;&gt;"",J24&gt;=7),"tester_A_et_B",AND(I24&lt;&gt;"",I24&gt;=5),"tester_A",AND(J24&lt;&gt;"",J24&gt;=7),"tester_B",TRUE,""))</f>
        <v/>
      </c>
      <c r="N24" s="22">
        <f>IF($A24="","",TEXTJOIN(" · ",TRUE,IF(L24="due","Deload cette semaine (−30% vol, RPE≤6, pas de max)",""),IF(L24="en_cours","Deload en cours — garder le leger",""),IF(L24="volume_+10%","Volume +10% vs S-1 — alleger S+1",""),IF(L24="rpe_2sem","RPE eleve 2 sem — alleger maintenant",""),IF(L24="trop_casse","Trop de seances cassees — recup cette semaine",""),IF(L24="affutage","Affutage : plus de max, allure de course",""),IF(M24="tester_A","Retest A (T50+T100) apres une seance facile",""),IF(M24="tester_B","Retest B (T200+T400) a frais",""),IF(M24="tester_A_et_B","Retest A cette sem, B la suivante",""),IF(M24="attendre_fin_deload","Retest apres le deload, pas pendant",""),IF(M24="pas_maintenant","Pas de test a fond",""),IF(AND(L24="",M24=""),"Charge OK — semaine normale","")))</f>
        <v/>
      </c>
      <c r="O24" s="20">
        <f>IF($A24="","",SUMIFS(tblSeances[volume_m],tblSeances[id_nageur],$A24,tblSeances[lundi],$B24-7,tblSeances[faite],"oui"))</f>
        <v/>
      </c>
      <c r="P24" s="23">
        <f>IF($A24="","",IFERROR(AVERAGEIFS(tblSeances[rpe],tblSeances[id_nageur],$A24,tblSeances[lundi],$B24-7,tblSeances[faite],"oui"),""))</f>
        <v/>
      </c>
      <c r="Q24" s="20">
        <f>IF($A24="","",COUNTIFS(tblSeances[id_nageur],$A24,tblSeances[lundi],$B24,tblSeances[qualite],"casse"))</f>
        <v/>
      </c>
      <c r="R24" s="20">
        <f>IF($A24="","",IFERROR(INDEX(tblNageurs[seances_sem],MATCH($A24,tblNageurs[id],0)),3))</f>
        <v/>
      </c>
    </row>
    <row r="25" ht="28" customHeight="1">
      <c r="A25" s="34" t="n"/>
      <c r="B25" s="35" t="n"/>
      <c r="C25" s="13">
        <f>IF($A25="","",COUNTIFS(tblSeances[id_nageur],$A25,tblSeances[lundi],$B25,tblSeances[faite],"oui"))</f>
        <v/>
      </c>
      <c r="D25" s="13">
        <f>IF($A25="","",SUMIFS(tblSeances[volume_m],tblSeances[id_nageur],$A25,tblSeances[lundi],$B25,tblSeances[faite],"oui"))</f>
        <v/>
      </c>
      <c r="E25" s="16">
        <f>IF($A25="","",IFERROR(AVERAGEIFS(tblSeances[rpe],tblSeances[id_nageur],$A25,tblSeances[lundi],$B25,tblSeances[faite],"oui"),""))</f>
        <v/>
      </c>
      <c r="F25" s="17">
        <f>IF(OR($A25="",O25="",O25=0),"", (D25-O25)/O25)</f>
        <v/>
      </c>
      <c r="G25" s="13">
        <f>IF($A25="","",IFERROR(INDEX(FILTER(tblSeances[type_semaine],(tblSeances[id_nageur]=$A25)*(tblSeances[lundi]=$B25)*(tblSeances[type_semaine]&lt;&gt;"")),1),IF(AND(O25&gt;0,D25&lt;=0.7*O25),"allegee","normale")))</f>
        <v/>
      </c>
      <c r="H25" s="16">
        <f>IF($A25="","",IFERROR(LET(d,MAXIFS(tblSeances[lundi],tblSeances[id_nageur],$A25,tblSeances[type_semaine],"allegee"),IF(d=0,"",($B25-d)/7)),""))</f>
        <v/>
      </c>
      <c r="I25" s="16">
        <f>IF($A25="","",IFERROR(LET(d,MAXIFS(tblTests[date],tblTests[id_nageur],$A25,tblTests[protocole],"T100",tblTests[valide],"oui"),IF(d=0,"",($B25-d)/7)),""))</f>
        <v/>
      </c>
      <c r="J25" s="16">
        <f>IF($A25="","",IFERROR(LET(d,MAXIFS(tblTests[date],tblTests[id_nageur],$A25,tblTests[protocole],"T400",tblTests[valide],"oui"),IF(d=0,"",($B25-d)/7)),""))</f>
        <v/>
      </c>
      <c r="K25" s="16">
        <f>IF($A25="","",IFERROR((XLOOKUP($A25,tblObjectifs[cle_dashboard],tblObjectifs[date_objectif])-$B25)/7,""))</f>
        <v/>
      </c>
      <c r="L25" s="13">
        <f>IF($A25="","",IFS(C25&lt;=1,"",AND(K25&lt;&gt;"",K25&lt;=3),"affutage",G25="allegee","en_cours",AND(H25&lt;&gt;"",H25&gt;=IF(R25&lt;=2,5,3),C25&gt;=IF(R25&lt;=2,2,3)),"due",AND(F25&lt;&gt;"",F25&gt;0.1),"volume_+10%",AND(E25&lt;&gt;"",E25&gt;=8,P25&lt;&gt;"",P25&gt;=8),"rpe_2sem",Q25&gt;=2,"trop_casse",TRUE,""))</f>
        <v/>
      </c>
      <c r="M25" s="13">
        <f>IF($A25="","",IFS(AND(K25&lt;&gt;"",K25&lt;=3),"pas_maintenant",G25="allegee","attendre_fin_deload",AND(E25&lt;&gt;"",E25&gt;=8),"pas_maintenant",AND(I25&lt;&gt;"",I25&gt;=5,J25&lt;&gt;"",J25&gt;=7),"tester_A_et_B",AND(I25&lt;&gt;"",I25&gt;=5),"tester_A",AND(J25&lt;&gt;"",J25&gt;=7),"tester_B",TRUE,""))</f>
        <v/>
      </c>
      <c r="N25" s="15">
        <f>IF($A25="","",TEXTJOIN(" · ",TRUE,IF(L25="due","Deload cette semaine (−30% vol, RPE≤6, pas de max)",""),IF(L25="en_cours","Deload en cours — garder le leger",""),IF(L25="volume_+10%","Volume +10% vs S-1 — alleger S+1",""),IF(L25="rpe_2sem","RPE eleve 2 sem — alleger maintenant",""),IF(L25="trop_casse","Trop de seances cassees — recup cette semaine",""),IF(L25="affutage","Affutage : plus de max, allure de course",""),IF(M25="tester_A","Retest A (T50+T100) apres une seance facile",""),IF(M25="tester_B","Retest B (T200+T400) a frais",""),IF(M25="tester_A_et_B","Retest A cette sem, B la suivante",""),IF(M25="attendre_fin_deload","Retest apres le deload, pas pendant",""),IF(M25="pas_maintenant","Pas de test a fond",""),IF(AND(L25="",M25=""),"Charge OK — semaine normale","")))</f>
        <v/>
      </c>
      <c r="O25" s="13">
        <f>IF($A25="","",SUMIFS(tblSeances[volume_m],tblSeances[id_nageur],$A25,tblSeances[lundi],$B25-7,tblSeances[faite],"oui"))</f>
        <v/>
      </c>
      <c r="P25" s="16">
        <f>IF($A25="","",IFERROR(AVERAGEIFS(tblSeances[rpe],tblSeances[id_nageur],$A25,tblSeances[lundi],$B25-7,tblSeances[faite],"oui"),""))</f>
        <v/>
      </c>
      <c r="Q25" s="13">
        <f>IF($A25="","",COUNTIFS(tblSeances[id_nageur],$A25,tblSeances[lundi],$B25,tblSeances[qualite],"casse"))</f>
        <v/>
      </c>
      <c r="R25" s="13">
        <f>IF($A25="","",IFERROR(INDEX(tblNageurs[seances_sem],MATCH($A25,tblNageurs[id],0)),3))</f>
        <v/>
      </c>
    </row>
    <row r="26" ht="28" customHeight="1">
      <c r="A26" s="34" t="n"/>
      <c r="B26" s="35" t="n"/>
      <c r="C26" s="20">
        <f>IF($A26="","",COUNTIFS(tblSeances[id_nageur],$A26,tblSeances[lundi],$B26,tblSeances[faite],"oui"))</f>
        <v/>
      </c>
      <c r="D26" s="20">
        <f>IF($A26="","",SUMIFS(tblSeances[volume_m],tblSeances[id_nageur],$A26,tblSeances[lundi],$B26,tblSeances[faite],"oui"))</f>
        <v/>
      </c>
      <c r="E26" s="23">
        <f>IF($A26="","",IFERROR(AVERAGEIFS(tblSeances[rpe],tblSeances[id_nageur],$A26,tblSeances[lundi],$B26,tblSeances[faite],"oui"),""))</f>
        <v/>
      </c>
      <c r="F26" s="24">
        <f>IF(OR($A26="",O26="",O26=0),"", (D26-O26)/O26)</f>
        <v/>
      </c>
      <c r="G26" s="20">
        <f>IF($A26="","",IFERROR(INDEX(FILTER(tblSeances[type_semaine],(tblSeances[id_nageur]=$A26)*(tblSeances[lundi]=$B26)*(tblSeances[type_semaine]&lt;&gt;"")),1),IF(AND(O26&gt;0,D26&lt;=0.7*O26),"allegee","normale")))</f>
        <v/>
      </c>
      <c r="H26" s="23">
        <f>IF($A26="","",IFERROR(LET(d,MAXIFS(tblSeances[lundi],tblSeances[id_nageur],$A26,tblSeances[type_semaine],"allegee"),IF(d=0,"",($B26-d)/7)),""))</f>
        <v/>
      </c>
      <c r="I26" s="23">
        <f>IF($A26="","",IFERROR(LET(d,MAXIFS(tblTests[date],tblTests[id_nageur],$A26,tblTests[protocole],"T100",tblTests[valide],"oui"),IF(d=0,"",($B26-d)/7)),""))</f>
        <v/>
      </c>
      <c r="J26" s="23">
        <f>IF($A26="","",IFERROR(LET(d,MAXIFS(tblTests[date],tblTests[id_nageur],$A26,tblTests[protocole],"T400",tblTests[valide],"oui"),IF(d=0,"",($B26-d)/7)),""))</f>
        <v/>
      </c>
      <c r="K26" s="23">
        <f>IF($A26="","",IFERROR((XLOOKUP($A26,tblObjectifs[cle_dashboard],tblObjectifs[date_objectif])-$B26)/7,""))</f>
        <v/>
      </c>
      <c r="L26" s="20">
        <f>IF($A26="","",IFS(C26&lt;=1,"",AND(K26&lt;&gt;"",K26&lt;=3),"affutage",G26="allegee","en_cours",AND(H26&lt;&gt;"",H26&gt;=IF(R26&lt;=2,5,3),C26&gt;=IF(R26&lt;=2,2,3)),"due",AND(F26&lt;&gt;"",F26&gt;0.1),"volume_+10%",AND(E26&lt;&gt;"",E26&gt;=8,P26&lt;&gt;"",P26&gt;=8),"rpe_2sem",Q26&gt;=2,"trop_casse",TRUE,""))</f>
        <v/>
      </c>
      <c r="M26" s="20">
        <f>IF($A26="","",IFS(AND(K26&lt;&gt;"",K26&lt;=3),"pas_maintenant",G26="allegee","attendre_fin_deload",AND(E26&lt;&gt;"",E26&gt;=8),"pas_maintenant",AND(I26&lt;&gt;"",I26&gt;=5,J26&lt;&gt;"",J26&gt;=7),"tester_A_et_B",AND(I26&lt;&gt;"",I26&gt;=5),"tester_A",AND(J26&lt;&gt;"",J26&gt;=7),"tester_B",TRUE,""))</f>
        <v/>
      </c>
      <c r="N26" s="22">
        <f>IF($A26="","",TEXTJOIN(" · ",TRUE,IF(L26="due","Deload cette semaine (−30% vol, RPE≤6, pas de max)",""),IF(L26="en_cours","Deload en cours — garder le leger",""),IF(L26="volume_+10%","Volume +10% vs S-1 — alleger S+1",""),IF(L26="rpe_2sem","RPE eleve 2 sem — alleger maintenant",""),IF(L26="trop_casse","Trop de seances cassees — recup cette semaine",""),IF(L26="affutage","Affutage : plus de max, allure de course",""),IF(M26="tester_A","Retest A (T50+T100) apres une seance facile",""),IF(M26="tester_B","Retest B (T200+T400) a frais",""),IF(M26="tester_A_et_B","Retest A cette sem, B la suivante",""),IF(M26="attendre_fin_deload","Retest apres le deload, pas pendant",""),IF(M26="pas_maintenant","Pas de test a fond",""),IF(AND(L26="",M26=""),"Charge OK — semaine normale","")))</f>
        <v/>
      </c>
      <c r="O26" s="20">
        <f>IF($A26="","",SUMIFS(tblSeances[volume_m],tblSeances[id_nageur],$A26,tblSeances[lundi],$B26-7,tblSeances[faite],"oui"))</f>
        <v/>
      </c>
      <c r="P26" s="23">
        <f>IF($A26="","",IFERROR(AVERAGEIFS(tblSeances[rpe],tblSeances[id_nageur],$A26,tblSeances[lundi],$B26-7,tblSeances[faite],"oui"),""))</f>
        <v/>
      </c>
      <c r="Q26" s="20">
        <f>IF($A26="","",COUNTIFS(tblSeances[id_nageur],$A26,tblSeances[lundi],$B26,tblSeances[qualite],"casse"))</f>
        <v/>
      </c>
      <c r="R26" s="20">
        <f>IF($A26="","",IFERROR(INDEX(tblNageurs[seances_sem],MATCH($A26,tblNageurs[id],0)),3))</f>
        <v/>
      </c>
    </row>
    <row r="27" ht="28" customHeight="1">
      <c r="A27" s="34" t="n"/>
      <c r="B27" s="35" t="n"/>
      <c r="C27" s="13">
        <f>IF($A27="","",COUNTIFS(tblSeances[id_nageur],$A27,tblSeances[lundi],$B27,tblSeances[faite],"oui"))</f>
        <v/>
      </c>
      <c r="D27" s="13">
        <f>IF($A27="","",SUMIFS(tblSeances[volume_m],tblSeances[id_nageur],$A27,tblSeances[lundi],$B27,tblSeances[faite],"oui"))</f>
        <v/>
      </c>
      <c r="E27" s="16">
        <f>IF($A27="","",IFERROR(AVERAGEIFS(tblSeances[rpe],tblSeances[id_nageur],$A27,tblSeances[lundi],$B27,tblSeances[faite],"oui"),""))</f>
        <v/>
      </c>
      <c r="F27" s="17">
        <f>IF(OR($A27="",O27="",O27=0),"", (D27-O27)/O27)</f>
        <v/>
      </c>
      <c r="G27" s="13">
        <f>IF($A27="","",IFERROR(INDEX(FILTER(tblSeances[type_semaine],(tblSeances[id_nageur]=$A27)*(tblSeances[lundi]=$B27)*(tblSeances[type_semaine]&lt;&gt;"")),1),IF(AND(O27&gt;0,D27&lt;=0.7*O27),"allegee","normale")))</f>
        <v/>
      </c>
      <c r="H27" s="16">
        <f>IF($A27="","",IFERROR(LET(d,MAXIFS(tblSeances[lundi],tblSeances[id_nageur],$A27,tblSeances[type_semaine],"allegee"),IF(d=0,"",($B27-d)/7)),""))</f>
        <v/>
      </c>
      <c r="I27" s="16">
        <f>IF($A27="","",IFERROR(LET(d,MAXIFS(tblTests[date],tblTests[id_nageur],$A27,tblTests[protocole],"T100",tblTests[valide],"oui"),IF(d=0,"",($B27-d)/7)),""))</f>
        <v/>
      </c>
      <c r="J27" s="16">
        <f>IF($A27="","",IFERROR(LET(d,MAXIFS(tblTests[date],tblTests[id_nageur],$A27,tblTests[protocole],"T400",tblTests[valide],"oui"),IF(d=0,"",($B27-d)/7)),""))</f>
        <v/>
      </c>
      <c r="K27" s="16">
        <f>IF($A27="","",IFERROR((XLOOKUP($A27,tblObjectifs[cle_dashboard],tblObjectifs[date_objectif])-$B27)/7,""))</f>
        <v/>
      </c>
      <c r="L27" s="13">
        <f>IF($A27="","",IFS(C27&lt;=1,"",AND(K27&lt;&gt;"",K27&lt;=3),"affutage",G27="allegee","en_cours",AND(H27&lt;&gt;"",H27&gt;=IF(R27&lt;=2,5,3),C27&gt;=IF(R27&lt;=2,2,3)),"due",AND(F27&lt;&gt;"",F27&gt;0.1),"volume_+10%",AND(E27&lt;&gt;"",E27&gt;=8,P27&lt;&gt;"",P27&gt;=8),"rpe_2sem",Q27&gt;=2,"trop_casse",TRUE,""))</f>
        <v/>
      </c>
      <c r="M27" s="13">
        <f>IF($A27="","",IFS(AND(K27&lt;&gt;"",K27&lt;=3),"pas_maintenant",G27="allegee","attendre_fin_deload",AND(E27&lt;&gt;"",E27&gt;=8),"pas_maintenant",AND(I27&lt;&gt;"",I27&gt;=5,J27&lt;&gt;"",J27&gt;=7),"tester_A_et_B",AND(I27&lt;&gt;"",I27&gt;=5),"tester_A",AND(J27&lt;&gt;"",J27&gt;=7),"tester_B",TRUE,""))</f>
        <v/>
      </c>
      <c r="N27" s="15">
        <f>IF($A27="","",TEXTJOIN(" · ",TRUE,IF(L27="due","Deload cette semaine (−30% vol, RPE≤6, pas de max)",""),IF(L27="en_cours","Deload en cours — garder le leger",""),IF(L27="volume_+10%","Volume +10% vs S-1 — alleger S+1",""),IF(L27="rpe_2sem","RPE eleve 2 sem — alleger maintenant",""),IF(L27="trop_casse","Trop de seances cassees — recup cette semaine",""),IF(L27="affutage","Affutage : plus de max, allure de course",""),IF(M27="tester_A","Retest A (T50+T100) apres une seance facile",""),IF(M27="tester_B","Retest B (T200+T400) a frais",""),IF(M27="tester_A_et_B","Retest A cette sem, B la suivante",""),IF(M27="attendre_fin_deload","Retest apres le deload, pas pendant",""),IF(M27="pas_maintenant","Pas de test a fond",""),IF(AND(L27="",M27=""),"Charge OK — semaine normale","")))</f>
        <v/>
      </c>
      <c r="O27" s="13">
        <f>IF($A27="","",SUMIFS(tblSeances[volume_m],tblSeances[id_nageur],$A27,tblSeances[lundi],$B27-7,tblSeances[faite],"oui"))</f>
        <v/>
      </c>
      <c r="P27" s="16">
        <f>IF($A27="","",IFERROR(AVERAGEIFS(tblSeances[rpe],tblSeances[id_nageur],$A27,tblSeances[lundi],$B27-7,tblSeances[faite],"oui"),""))</f>
        <v/>
      </c>
      <c r="Q27" s="13">
        <f>IF($A27="","",COUNTIFS(tblSeances[id_nageur],$A27,tblSeances[lundi],$B27,tblSeances[qualite],"casse"))</f>
        <v/>
      </c>
      <c r="R27" s="13">
        <f>IF($A27="","",IFERROR(INDEX(tblNageurs[seances_sem],MATCH($A27,tblNageurs[id],0)),3))</f>
        <v/>
      </c>
    </row>
    <row r="28" ht="28" customHeight="1">
      <c r="A28" s="34" t="n"/>
      <c r="B28" s="35" t="n"/>
      <c r="C28" s="20">
        <f>IF($A28="","",COUNTIFS(tblSeances[id_nageur],$A28,tblSeances[lundi],$B28,tblSeances[faite],"oui"))</f>
        <v/>
      </c>
      <c r="D28" s="20">
        <f>IF($A28="","",SUMIFS(tblSeances[volume_m],tblSeances[id_nageur],$A28,tblSeances[lundi],$B28,tblSeances[faite],"oui"))</f>
        <v/>
      </c>
      <c r="E28" s="23">
        <f>IF($A28="","",IFERROR(AVERAGEIFS(tblSeances[rpe],tblSeances[id_nageur],$A28,tblSeances[lundi],$B28,tblSeances[faite],"oui"),""))</f>
        <v/>
      </c>
      <c r="F28" s="24">
        <f>IF(OR($A28="",O28="",O28=0),"", (D28-O28)/O28)</f>
        <v/>
      </c>
      <c r="G28" s="20">
        <f>IF($A28="","",IFERROR(INDEX(FILTER(tblSeances[type_semaine],(tblSeances[id_nageur]=$A28)*(tblSeances[lundi]=$B28)*(tblSeances[type_semaine]&lt;&gt;"")),1),IF(AND(O28&gt;0,D28&lt;=0.7*O28),"allegee","normale")))</f>
        <v/>
      </c>
      <c r="H28" s="23">
        <f>IF($A28="","",IFERROR(LET(d,MAXIFS(tblSeances[lundi],tblSeances[id_nageur],$A28,tblSeances[type_semaine],"allegee"),IF(d=0,"",($B28-d)/7)),""))</f>
        <v/>
      </c>
      <c r="I28" s="23">
        <f>IF($A28="","",IFERROR(LET(d,MAXIFS(tblTests[date],tblTests[id_nageur],$A28,tblTests[protocole],"T100",tblTests[valide],"oui"),IF(d=0,"",($B28-d)/7)),""))</f>
        <v/>
      </c>
      <c r="J28" s="23">
        <f>IF($A28="","",IFERROR(LET(d,MAXIFS(tblTests[date],tblTests[id_nageur],$A28,tblTests[protocole],"T400",tblTests[valide],"oui"),IF(d=0,"",($B28-d)/7)),""))</f>
        <v/>
      </c>
      <c r="K28" s="23">
        <f>IF($A28="","",IFERROR((XLOOKUP($A28,tblObjectifs[cle_dashboard],tblObjectifs[date_objectif])-$B28)/7,""))</f>
        <v/>
      </c>
      <c r="L28" s="20">
        <f>IF($A28="","",IFS(C28&lt;=1,"",AND(K28&lt;&gt;"",K28&lt;=3),"affutage",G28="allegee","en_cours",AND(H28&lt;&gt;"",H28&gt;=IF(R28&lt;=2,5,3),C28&gt;=IF(R28&lt;=2,2,3)),"due",AND(F28&lt;&gt;"",F28&gt;0.1),"volume_+10%",AND(E28&lt;&gt;"",E28&gt;=8,P28&lt;&gt;"",P28&gt;=8),"rpe_2sem",Q28&gt;=2,"trop_casse",TRUE,""))</f>
        <v/>
      </c>
      <c r="M28" s="20">
        <f>IF($A28="","",IFS(AND(K28&lt;&gt;"",K28&lt;=3),"pas_maintenant",G28="allegee","attendre_fin_deload",AND(E28&lt;&gt;"",E28&gt;=8),"pas_maintenant",AND(I28&lt;&gt;"",I28&gt;=5,J28&lt;&gt;"",J28&gt;=7),"tester_A_et_B",AND(I28&lt;&gt;"",I28&gt;=5),"tester_A",AND(J28&lt;&gt;"",J28&gt;=7),"tester_B",TRUE,""))</f>
        <v/>
      </c>
      <c r="N28" s="22">
        <f>IF($A28="","",TEXTJOIN(" · ",TRUE,IF(L28="due","Deload cette semaine (−30% vol, RPE≤6, pas de max)",""),IF(L28="en_cours","Deload en cours — garder le leger",""),IF(L28="volume_+10%","Volume +10% vs S-1 — alleger S+1",""),IF(L28="rpe_2sem","RPE eleve 2 sem — alleger maintenant",""),IF(L28="trop_casse","Trop de seances cassees — recup cette semaine",""),IF(L28="affutage","Affutage : plus de max, allure de course",""),IF(M28="tester_A","Retest A (T50+T100) apres une seance facile",""),IF(M28="tester_B","Retest B (T200+T400) a frais",""),IF(M28="tester_A_et_B","Retest A cette sem, B la suivante",""),IF(M28="attendre_fin_deload","Retest apres le deload, pas pendant",""),IF(M28="pas_maintenant","Pas de test a fond",""),IF(AND(L28="",M28=""),"Charge OK — semaine normale","")))</f>
        <v/>
      </c>
      <c r="O28" s="20">
        <f>IF($A28="","",SUMIFS(tblSeances[volume_m],tblSeances[id_nageur],$A28,tblSeances[lundi],$B28-7,tblSeances[faite],"oui"))</f>
        <v/>
      </c>
      <c r="P28" s="23">
        <f>IF($A28="","",IFERROR(AVERAGEIFS(tblSeances[rpe],tblSeances[id_nageur],$A28,tblSeances[lundi],$B28-7,tblSeances[faite],"oui"),""))</f>
        <v/>
      </c>
      <c r="Q28" s="20">
        <f>IF($A28="","",COUNTIFS(tblSeances[id_nageur],$A28,tblSeances[lundi],$B28,tblSeances[qualite],"casse"))</f>
        <v/>
      </c>
      <c r="R28" s="20">
        <f>IF($A28="","",IFERROR(INDEX(tblNageurs[seances_sem],MATCH($A28,tblNageurs[id],0)),3))</f>
        <v/>
      </c>
    </row>
    <row r="29" ht="28" customHeight="1">
      <c r="A29" s="34" t="n"/>
      <c r="B29" s="35" t="n"/>
      <c r="C29" s="13">
        <f>IF($A29="","",COUNTIFS(tblSeances[id_nageur],$A29,tblSeances[lundi],$B29,tblSeances[faite],"oui"))</f>
        <v/>
      </c>
      <c r="D29" s="13">
        <f>IF($A29="","",SUMIFS(tblSeances[volume_m],tblSeances[id_nageur],$A29,tblSeances[lundi],$B29,tblSeances[faite],"oui"))</f>
        <v/>
      </c>
      <c r="E29" s="16">
        <f>IF($A29="","",IFERROR(AVERAGEIFS(tblSeances[rpe],tblSeances[id_nageur],$A29,tblSeances[lundi],$B29,tblSeances[faite],"oui"),""))</f>
        <v/>
      </c>
      <c r="F29" s="17">
        <f>IF(OR($A29="",O29="",O29=0),"", (D29-O29)/O29)</f>
        <v/>
      </c>
      <c r="G29" s="13">
        <f>IF($A29="","",IFERROR(INDEX(FILTER(tblSeances[type_semaine],(tblSeances[id_nageur]=$A29)*(tblSeances[lundi]=$B29)*(tblSeances[type_semaine]&lt;&gt;"")),1),IF(AND(O29&gt;0,D29&lt;=0.7*O29),"allegee","normale")))</f>
        <v/>
      </c>
      <c r="H29" s="16">
        <f>IF($A29="","",IFERROR(LET(d,MAXIFS(tblSeances[lundi],tblSeances[id_nageur],$A29,tblSeances[type_semaine],"allegee"),IF(d=0,"",($B29-d)/7)),""))</f>
        <v/>
      </c>
      <c r="I29" s="16">
        <f>IF($A29="","",IFERROR(LET(d,MAXIFS(tblTests[date],tblTests[id_nageur],$A29,tblTests[protocole],"T100",tblTests[valide],"oui"),IF(d=0,"",($B29-d)/7)),""))</f>
        <v/>
      </c>
      <c r="J29" s="16">
        <f>IF($A29="","",IFERROR(LET(d,MAXIFS(tblTests[date],tblTests[id_nageur],$A29,tblTests[protocole],"T400",tblTests[valide],"oui"),IF(d=0,"",($B29-d)/7)),""))</f>
        <v/>
      </c>
      <c r="K29" s="16">
        <f>IF($A29="","",IFERROR((XLOOKUP($A29,tblObjectifs[cle_dashboard],tblObjectifs[date_objectif])-$B29)/7,""))</f>
        <v/>
      </c>
      <c r="L29" s="13">
        <f>IF($A29="","",IFS(C29&lt;=1,"",AND(K29&lt;&gt;"",K29&lt;=3),"affutage",G29="allegee","en_cours",AND(H29&lt;&gt;"",H29&gt;=IF(R29&lt;=2,5,3),C29&gt;=IF(R29&lt;=2,2,3)),"due",AND(F29&lt;&gt;"",F29&gt;0.1),"volume_+10%",AND(E29&lt;&gt;"",E29&gt;=8,P29&lt;&gt;"",P29&gt;=8),"rpe_2sem",Q29&gt;=2,"trop_casse",TRUE,""))</f>
        <v/>
      </c>
      <c r="M29" s="13">
        <f>IF($A29="","",IFS(AND(K29&lt;&gt;"",K29&lt;=3),"pas_maintenant",G29="allegee","attendre_fin_deload",AND(E29&lt;&gt;"",E29&gt;=8),"pas_maintenant",AND(I29&lt;&gt;"",I29&gt;=5,J29&lt;&gt;"",J29&gt;=7),"tester_A_et_B",AND(I29&lt;&gt;"",I29&gt;=5),"tester_A",AND(J29&lt;&gt;"",J29&gt;=7),"tester_B",TRUE,""))</f>
        <v/>
      </c>
      <c r="N29" s="15">
        <f>IF($A29="","",TEXTJOIN(" · ",TRUE,IF(L29="due","Deload cette semaine (−30% vol, RPE≤6, pas de max)",""),IF(L29="en_cours","Deload en cours — garder le leger",""),IF(L29="volume_+10%","Volume +10% vs S-1 — alleger S+1",""),IF(L29="rpe_2sem","RPE eleve 2 sem — alleger maintenant",""),IF(L29="trop_casse","Trop de seances cassees — recup cette semaine",""),IF(L29="affutage","Affutage : plus de max, allure de course",""),IF(M29="tester_A","Retest A (T50+T100) apres une seance facile",""),IF(M29="tester_B","Retest B (T200+T400) a frais",""),IF(M29="tester_A_et_B","Retest A cette sem, B la suivante",""),IF(M29="attendre_fin_deload","Retest apres le deload, pas pendant",""),IF(M29="pas_maintenant","Pas de test a fond",""),IF(AND(L29="",M29=""),"Charge OK — semaine normale","")))</f>
        <v/>
      </c>
      <c r="O29" s="13">
        <f>IF($A29="","",SUMIFS(tblSeances[volume_m],tblSeances[id_nageur],$A29,tblSeances[lundi],$B29-7,tblSeances[faite],"oui"))</f>
        <v/>
      </c>
      <c r="P29" s="16">
        <f>IF($A29="","",IFERROR(AVERAGEIFS(tblSeances[rpe],tblSeances[id_nageur],$A29,tblSeances[lundi],$B29-7,tblSeances[faite],"oui"),""))</f>
        <v/>
      </c>
      <c r="Q29" s="13">
        <f>IF($A29="","",COUNTIFS(tblSeances[id_nageur],$A29,tblSeances[lundi],$B29,tblSeances[qualite],"casse"))</f>
        <v/>
      </c>
      <c r="R29" s="13">
        <f>IF($A29="","",IFERROR(INDEX(tblNageurs[seances_sem],MATCH($A29,tblNageurs[id],0)),3))</f>
        <v/>
      </c>
    </row>
    <row r="30" ht="28" customHeight="1">
      <c r="A30" s="34" t="n"/>
      <c r="B30" s="35" t="n"/>
      <c r="C30" s="20">
        <f>IF($A30="","",COUNTIFS(tblSeances[id_nageur],$A30,tblSeances[lundi],$B30,tblSeances[faite],"oui"))</f>
        <v/>
      </c>
      <c r="D30" s="20">
        <f>IF($A30="","",SUMIFS(tblSeances[volume_m],tblSeances[id_nageur],$A30,tblSeances[lundi],$B30,tblSeances[faite],"oui"))</f>
        <v/>
      </c>
      <c r="E30" s="23">
        <f>IF($A30="","",IFERROR(AVERAGEIFS(tblSeances[rpe],tblSeances[id_nageur],$A30,tblSeances[lundi],$B30,tblSeances[faite],"oui"),""))</f>
        <v/>
      </c>
      <c r="F30" s="24">
        <f>IF(OR($A30="",O30="",O30=0),"", (D30-O30)/O30)</f>
        <v/>
      </c>
      <c r="G30" s="20">
        <f>IF($A30="","",IFERROR(INDEX(FILTER(tblSeances[type_semaine],(tblSeances[id_nageur]=$A30)*(tblSeances[lundi]=$B30)*(tblSeances[type_semaine]&lt;&gt;"")),1),IF(AND(O30&gt;0,D30&lt;=0.7*O30),"allegee","normale")))</f>
        <v/>
      </c>
      <c r="H30" s="23">
        <f>IF($A30="","",IFERROR(LET(d,MAXIFS(tblSeances[lundi],tblSeances[id_nageur],$A30,tblSeances[type_semaine],"allegee"),IF(d=0,"",($B30-d)/7)),""))</f>
        <v/>
      </c>
      <c r="I30" s="23">
        <f>IF($A30="","",IFERROR(LET(d,MAXIFS(tblTests[date],tblTests[id_nageur],$A30,tblTests[protocole],"T100",tblTests[valide],"oui"),IF(d=0,"",($B30-d)/7)),""))</f>
        <v/>
      </c>
      <c r="J30" s="23">
        <f>IF($A30="","",IFERROR(LET(d,MAXIFS(tblTests[date],tblTests[id_nageur],$A30,tblTests[protocole],"T400",tblTests[valide],"oui"),IF(d=0,"",($B30-d)/7)),""))</f>
        <v/>
      </c>
      <c r="K30" s="23">
        <f>IF($A30="","",IFERROR((XLOOKUP($A30,tblObjectifs[cle_dashboard],tblObjectifs[date_objectif])-$B30)/7,""))</f>
        <v/>
      </c>
      <c r="L30" s="20">
        <f>IF($A30="","",IFS(C30&lt;=1,"",AND(K30&lt;&gt;"",K30&lt;=3),"affutage",G30="allegee","en_cours",AND(H30&lt;&gt;"",H30&gt;=IF(R30&lt;=2,5,3),C30&gt;=IF(R30&lt;=2,2,3)),"due",AND(F30&lt;&gt;"",F30&gt;0.1),"volume_+10%",AND(E30&lt;&gt;"",E30&gt;=8,P30&lt;&gt;"",P30&gt;=8),"rpe_2sem",Q30&gt;=2,"trop_casse",TRUE,""))</f>
        <v/>
      </c>
      <c r="M30" s="20">
        <f>IF($A30="","",IFS(AND(K30&lt;&gt;"",K30&lt;=3),"pas_maintenant",G30="allegee","attendre_fin_deload",AND(E30&lt;&gt;"",E30&gt;=8),"pas_maintenant",AND(I30&lt;&gt;"",I30&gt;=5,J30&lt;&gt;"",J30&gt;=7),"tester_A_et_B",AND(I30&lt;&gt;"",I30&gt;=5),"tester_A",AND(J30&lt;&gt;"",J30&gt;=7),"tester_B",TRUE,""))</f>
        <v/>
      </c>
      <c r="N30" s="22">
        <f>IF($A30="","",TEXTJOIN(" · ",TRUE,IF(L30="due","Deload cette semaine (−30% vol, RPE≤6, pas de max)",""),IF(L30="en_cours","Deload en cours — garder le leger",""),IF(L30="volume_+10%","Volume +10% vs S-1 — alleger S+1",""),IF(L30="rpe_2sem","RPE eleve 2 sem — alleger maintenant",""),IF(L30="trop_casse","Trop de seances cassees — recup cette semaine",""),IF(L30="affutage","Affutage : plus de max, allure de course",""),IF(M30="tester_A","Retest A (T50+T100) apres une seance facile",""),IF(M30="tester_B","Retest B (T200+T400) a frais",""),IF(M30="tester_A_et_B","Retest A cette sem, B la suivante",""),IF(M30="attendre_fin_deload","Retest apres le deload, pas pendant",""),IF(M30="pas_maintenant","Pas de test a fond",""),IF(AND(L30="",M30=""),"Charge OK — semaine normale","")))</f>
        <v/>
      </c>
      <c r="O30" s="20">
        <f>IF($A30="","",SUMIFS(tblSeances[volume_m],tblSeances[id_nageur],$A30,tblSeances[lundi],$B30-7,tblSeances[faite],"oui"))</f>
        <v/>
      </c>
      <c r="P30" s="23">
        <f>IF($A30="","",IFERROR(AVERAGEIFS(tblSeances[rpe],tblSeances[id_nageur],$A30,tblSeances[lundi],$B30-7,tblSeances[faite],"oui"),""))</f>
        <v/>
      </c>
      <c r="Q30" s="20">
        <f>IF($A30="","",COUNTIFS(tblSeances[id_nageur],$A30,tblSeances[lundi],$B30,tblSeances[qualite],"casse"))</f>
        <v/>
      </c>
      <c r="R30" s="20">
        <f>IF($A30="","",IFERROR(INDEX(tblNageurs[seances_sem],MATCH($A30,tblNageurs[id],0)),3))</f>
        <v/>
      </c>
    </row>
    <row r="31" ht="28" customHeight="1">
      <c r="A31" s="34" t="n"/>
      <c r="B31" s="35" t="n"/>
      <c r="C31" s="13">
        <f>IF($A31="","",COUNTIFS(tblSeances[id_nageur],$A31,tblSeances[lundi],$B31,tblSeances[faite],"oui"))</f>
        <v/>
      </c>
      <c r="D31" s="13">
        <f>IF($A31="","",SUMIFS(tblSeances[volume_m],tblSeances[id_nageur],$A31,tblSeances[lundi],$B31,tblSeances[faite],"oui"))</f>
        <v/>
      </c>
      <c r="E31" s="16">
        <f>IF($A31="","",IFERROR(AVERAGEIFS(tblSeances[rpe],tblSeances[id_nageur],$A31,tblSeances[lundi],$B31,tblSeances[faite],"oui"),""))</f>
        <v/>
      </c>
      <c r="F31" s="17">
        <f>IF(OR($A31="",O31="",O31=0),"", (D31-O31)/O31)</f>
        <v/>
      </c>
      <c r="G31" s="13">
        <f>IF($A31="","",IFERROR(INDEX(FILTER(tblSeances[type_semaine],(tblSeances[id_nageur]=$A31)*(tblSeances[lundi]=$B31)*(tblSeances[type_semaine]&lt;&gt;"")),1),IF(AND(O31&gt;0,D31&lt;=0.7*O31),"allegee","normale")))</f>
        <v/>
      </c>
      <c r="H31" s="16">
        <f>IF($A31="","",IFERROR(LET(d,MAXIFS(tblSeances[lundi],tblSeances[id_nageur],$A31,tblSeances[type_semaine],"allegee"),IF(d=0,"",($B31-d)/7)),""))</f>
        <v/>
      </c>
      <c r="I31" s="16">
        <f>IF($A31="","",IFERROR(LET(d,MAXIFS(tblTests[date],tblTests[id_nageur],$A31,tblTests[protocole],"T100",tblTests[valide],"oui"),IF(d=0,"",($B31-d)/7)),""))</f>
        <v/>
      </c>
      <c r="J31" s="16">
        <f>IF($A31="","",IFERROR(LET(d,MAXIFS(tblTests[date],tblTests[id_nageur],$A31,tblTests[protocole],"T400",tblTests[valide],"oui"),IF(d=0,"",($B31-d)/7)),""))</f>
        <v/>
      </c>
      <c r="K31" s="16">
        <f>IF($A31="","",IFERROR((XLOOKUP($A31,tblObjectifs[cle_dashboard],tblObjectifs[date_objectif])-$B31)/7,""))</f>
        <v/>
      </c>
      <c r="L31" s="13">
        <f>IF($A31="","",IFS(C31&lt;=1,"",AND(K31&lt;&gt;"",K31&lt;=3),"affutage",G31="allegee","en_cours",AND(H31&lt;&gt;"",H31&gt;=IF(R31&lt;=2,5,3),C31&gt;=IF(R31&lt;=2,2,3)),"due",AND(F31&lt;&gt;"",F31&gt;0.1),"volume_+10%",AND(E31&lt;&gt;"",E31&gt;=8,P31&lt;&gt;"",P31&gt;=8),"rpe_2sem",Q31&gt;=2,"trop_casse",TRUE,""))</f>
        <v/>
      </c>
      <c r="M31" s="13">
        <f>IF($A31="","",IFS(AND(K31&lt;&gt;"",K31&lt;=3),"pas_maintenant",G31="allegee","attendre_fin_deload",AND(E31&lt;&gt;"",E31&gt;=8),"pas_maintenant",AND(I31&lt;&gt;"",I31&gt;=5,J31&lt;&gt;"",J31&gt;=7),"tester_A_et_B",AND(I31&lt;&gt;"",I31&gt;=5),"tester_A",AND(J31&lt;&gt;"",J31&gt;=7),"tester_B",TRUE,""))</f>
        <v/>
      </c>
      <c r="N31" s="15">
        <f>IF($A31="","",TEXTJOIN(" · ",TRUE,IF(L31="due","Deload cette semaine (−30% vol, RPE≤6, pas de max)",""),IF(L31="en_cours","Deload en cours — garder le leger",""),IF(L31="volume_+10%","Volume +10% vs S-1 — alleger S+1",""),IF(L31="rpe_2sem","RPE eleve 2 sem — alleger maintenant",""),IF(L31="trop_casse","Trop de seances cassees — recup cette semaine",""),IF(L31="affutage","Affutage : plus de max, allure de course",""),IF(M31="tester_A","Retest A (T50+T100) apres une seance facile",""),IF(M31="tester_B","Retest B (T200+T400) a frais",""),IF(M31="tester_A_et_B","Retest A cette sem, B la suivante",""),IF(M31="attendre_fin_deload","Retest apres le deload, pas pendant",""),IF(M31="pas_maintenant","Pas de test a fond",""),IF(AND(L31="",M31=""),"Charge OK — semaine normale","")))</f>
        <v/>
      </c>
      <c r="O31" s="13">
        <f>IF($A31="","",SUMIFS(tblSeances[volume_m],tblSeances[id_nageur],$A31,tblSeances[lundi],$B31-7,tblSeances[faite],"oui"))</f>
        <v/>
      </c>
      <c r="P31" s="16">
        <f>IF($A31="","",IFERROR(AVERAGEIFS(tblSeances[rpe],tblSeances[id_nageur],$A31,tblSeances[lundi],$B31-7,tblSeances[faite],"oui"),""))</f>
        <v/>
      </c>
      <c r="Q31" s="13">
        <f>IF($A31="","",COUNTIFS(tblSeances[id_nageur],$A31,tblSeances[lundi],$B31,tblSeances[qualite],"casse"))</f>
        <v/>
      </c>
      <c r="R31" s="13">
        <f>IF($A31="","",IFERROR(INDEX(tblNageurs[seances_sem],MATCH($A31,tblNageurs[id],0)),3))</f>
        <v/>
      </c>
    </row>
    <row r="32" ht="28" customHeight="1">
      <c r="A32" s="34" t="n"/>
      <c r="B32" s="35" t="n"/>
      <c r="C32" s="20">
        <f>IF($A32="","",COUNTIFS(tblSeances[id_nageur],$A32,tblSeances[lundi],$B32,tblSeances[faite],"oui"))</f>
        <v/>
      </c>
      <c r="D32" s="20">
        <f>IF($A32="","",SUMIFS(tblSeances[volume_m],tblSeances[id_nageur],$A32,tblSeances[lundi],$B32,tblSeances[faite],"oui"))</f>
        <v/>
      </c>
      <c r="E32" s="23">
        <f>IF($A32="","",IFERROR(AVERAGEIFS(tblSeances[rpe],tblSeances[id_nageur],$A32,tblSeances[lundi],$B32,tblSeances[faite],"oui"),""))</f>
        <v/>
      </c>
      <c r="F32" s="24">
        <f>IF(OR($A32="",O32="",O32=0),"", (D32-O32)/O32)</f>
        <v/>
      </c>
      <c r="G32" s="20">
        <f>IF($A32="","",IFERROR(INDEX(FILTER(tblSeances[type_semaine],(tblSeances[id_nageur]=$A32)*(tblSeances[lundi]=$B32)*(tblSeances[type_semaine]&lt;&gt;"")),1),IF(AND(O32&gt;0,D32&lt;=0.7*O32),"allegee","normale")))</f>
        <v/>
      </c>
      <c r="H32" s="23">
        <f>IF($A32="","",IFERROR(LET(d,MAXIFS(tblSeances[lundi],tblSeances[id_nageur],$A32,tblSeances[type_semaine],"allegee"),IF(d=0,"",($B32-d)/7)),""))</f>
        <v/>
      </c>
      <c r="I32" s="23">
        <f>IF($A32="","",IFERROR(LET(d,MAXIFS(tblTests[date],tblTests[id_nageur],$A32,tblTests[protocole],"T100",tblTests[valide],"oui"),IF(d=0,"",($B32-d)/7)),""))</f>
        <v/>
      </c>
      <c r="J32" s="23">
        <f>IF($A32="","",IFERROR(LET(d,MAXIFS(tblTests[date],tblTests[id_nageur],$A32,tblTests[protocole],"T400",tblTests[valide],"oui"),IF(d=0,"",($B32-d)/7)),""))</f>
        <v/>
      </c>
      <c r="K32" s="23">
        <f>IF($A32="","",IFERROR((XLOOKUP($A32,tblObjectifs[cle_dashboard],tblObjectifs[date_objectif])-$B32)/7,""))</f>
        <v/>
      </c>
      <c r="L32" s="20">
        <f>IF($A32="","",IFS(C32&lt;=1,"",AND(K32&lt;&gt;"",K32&lt;=3),"affutage",G32="allegee","en_cours",AND(H32&lt;&gt;"",H32&gt;=IF(R32&lt;=2,5,3),C32&gt;=IF(R32&lt;=2,2,3)),"due",AND(F32&lt;&gt;"",F32&gt;0.1),"volume_+10%",AND(E32&lt;&gt;"",E32&gt;=8,P32&lt;&gt;"",P32&gt;=8),"rpe_2sem",Q32&gt;=2,"trop_casse",TRUE,""))</f>
        <v/>
      </c>
      <c r="M32" s="20">
        <f>IF($A32="","",IFS(AND(K32&lt;&gt;"",K32&lt;=3),"pas_maintenant",G32="allegee","attendre_fin_deload",AND(E32&lt;&gt;"",E32&gt;=8),"pas_maintenant",AND(I32&lt;&gt;"",I32&gt;=5,J32&lt;&gt;"",J32&gt;=7),"tester_A_et_B",AND(I32&lt;&gt;"",I32&gt;=5),"tester_A",AND(J32&lt;&gt;"",J32&gt;=7),"tester_B",TRUE,""))</f>
        <v/>
      </c>
      <c r="N32" s="22">
        <f>IF($A32="","",TEXTJOIN(" · ",TRUE,IF(L32="due","Deload cette semaine (−30% vol, RPE≤6, pas de max)",""),IF(L32="en_cours","Deload en cours — garder le leger",""),IF(L32="volume_+10%","Volume +10% vs S-1 — alleger S+1",""),IF(L32="rpe_2sem","RPE eleve 2 sem — alleger maintenant",""),IF(L32="trop_casse","Trop de seances cassees — recup cette semaine",""),IF(L32="affutage","Affutage : plus de max, allure de course",""),IF(M32="tester_A","Retest A (T50+T100) apres une seance facile",""),IF(M32="tester_B","Retest B (T200+T400) a frais",""),IF(M32="tester_A_et_B","Retest A cette sem, B la suivante",""),IF(M32="attendre_fin_deload","Retest apres le deload, pas pendant",""),IF(M32="pas_maintenant","Pas de test a fond",""),IF(AND(L32="",M32=""),"Charge OK — semaine normale","")))</f>
        <v/>
      </c>
      <c r="O32" s="20">
        <f>IF($A32="","",SUMIFS(tblSeances[volume_m],tblSeances[id_nageur],$A32,tblSeances[lundi],$B32-7,tblSeances[faite],"oui"))</f>
        <v/>
      </c>
      <c r="P32" s="23">
        <f>IF($A32="","",IFERROR(AVERAGEIFS(tblSeances[rpe],tblSeances[id_nageur],$A32,tblSeances[lundi],$B32-7,tblSeances[faite],"oui"),""))</f>
        <v/>
      </c>
      <c r="Q32" s="20">
        <f>IF($A32="","",COUNTIFS(tblSeances[id_nageur],$A32,tblSeances[lundi],$B32,tblSeances[qualite],"casse"))</f>
        <v/>
      </c>
      <c r="R32" s="20">
        <f>IF($A32="","",IFERROR(INDEX(tblNageurs[seances_sem],MATCH($A32,tblNageurs[id],0)),3))</f>
        <v/>
      </c>
    </row>
    <row r="33" ht="28" customHeight="1">
      <c r="A33" s="34" t="n"/>
      <c r="B33" s="35" t="n"/>
      <c r="C33" s="13">
        <f>IF($A33="","",COUNTIFS(tblSeances[id_nageur],$A33,tblSeances[lundi],$B33,tblSeances[faite],"oui"))</f>
        <v/>
      </c>
      <c r="D33" s="13">
        <f>IF($A33="","",SUMIFS(tblSeances[volume_m],tblSeances[id_nageur],$A33,tblSeances[lundi],$B33,tblSeances[faite],"oui"))</f>
        <v/>
      </c>
      <c r="E33" s="16">
        <f>IF($A33="","",IFERROR(AVERAGEIFS(tblSeances[rpe],tblSeances[id_nageur],$A33,tblSeances[lundi],$B33,tblSeances[faite],"oui"),""))</f>
        <v/>
      </c>
      <c r="F33" s="17">
        <f>IF(OR($A33="",O33="",O33=0),"", (D33-O33)/O33)</f>
        <v/>
      </c>
      <c r="G33" s="13">
        <f>IF($A33="","",IFERROR(INDEX(FILTER(tblSeances[type_semaine],(tblSeances[id_nageur]=$A33)*(tblSeances[lundi]=$B33)*(tblSeances[type_semaine]&lt;&gt;"")),1),IF(AND(O33&gt;0,D33&lt;=0.7*O33),"allegee","normale")))</f>
        <v/>
      </c>
      <c r="H33" s="16">
        <f>IF($A33="","",IFERROR(LET(d,MAXIFS(tblSeances[lundi],tblSeances[id_nageur],$A33,tblSeances[type_semaine],"allegee"),IF(d=0,"",($B33-d)/7)),""))</f>
        <v/>
      </c>
      <c r="I33" s="16">
        <f>IF($A33="","",IFERROR(LET(d,MAXIFS(tblTests[date],tblTests[id_nageur],$A33,tblTests[protocole],"T100",tblTests[valide],"oui"),IF(d=0,"",($B33-d)/7)),""))</f>
        <v/>
      </c>
      <c r="J33" s="16">
        <f>IF($A33="","",IFERROR(LET(d,MAXIFS(tblTests[date],tblTests[id_nageur],$A33,tblTests[protocole],"T400",tblTests[valide],"oui"),IF(d=0,"",($B33-d)/7)),""))</f>
        <v/>
      </c>
      <c r="K33" s="16">
        <f>IF($A33="","",IFERROR((XLOOKUP($A33,tblObjectifs[cle_dashboard],tblObjectifs[date_objectif])-$B33)/7,""))</f>
        <v/>
      </c>
      <c r="L33" s="13">
        <f>IF($A33="","",IFS(C33&lt;=1,"",AND(K33&lt;&gt;"",K33&lt;=3),"affutage",G33="allegee","en_cours",AND(H33&lt;&gt;"",H33&gt;=IF(R33&lt;=2,5,3),C33&gt;=IF(R33&lt;=2,2,3)),"due",AND(F33&lt;&gt;"",F33&gt;0.1),"volume_+10%",AND(E33&lt;&gt;"",E33&gt;=8,P33&lt;&gt;"",P33&gt;=8),"rpe_2sem",Q33&gt;=2,"trop_casse",TRUE,""))</f>
        <v/>
      </c>
      <c r="M33" s="13">
        <f>IF($A33="","",IFS(AND(K33&lt;&gt;"",K33&lt;=3),"pas_maintenant",G33="allegee","attendre_fin_deload",AND(E33&lt;&gt;"",E33&gt;=8),"pas_maintenant",AND(I33&lt;&gt;"",I33&gt;=5,J33&lt;&gt;"",J33&gt;=7),"tester_A_et_B",AND(I33&lt;&gt;"",I33&gt;=5),"tester_A",AND(J33&lt;&gt;"",J33&gt;=7),"tester_B",TRUE,""))</f>
        <v/>
      </c>
      <c r="N33" s="15">
        <f>IF($A33="","",TEXTJOIN(" · ",TRUE,IF(L33="due","Deload cette semaine (−30% vol, RPE≤6, pas de max)",""),IF(L33="en_cours","Deload en cours — garder le leger",""),IF(L33="volume_+10%","Volume +10% vs S-1 — alleger S+1",""),IF(L33="rpe_2sem","RPE eleve 2 sem — alleger maintenant",""),IF(L33="trop_casse","Trop de seances cassees — recup cette semaine",""),IF(L33="affutage","Affutage : plus de max, allure de course",""),IF(M33="tester_A","Retest A (T50+T100) apres une seance facile",""),IF(M33="tester_B","Retest B (T200+T400) a frais",""),IF(M33="tester_A_et_B","Retest A cette sem, B la suivante",""),IF(M33="attendre_fin_deload","Retest apres le deload, pas pendant",""),IF(M33="pas_maintenant","Pas de test a fond",""),IF(AND(L33="",M33=""),"Charge OK — semaine normale","")))</f>
        <v/>
      </c>
      <c r="O33" s="13">
        <f>IF($A33="","",SUMIFS(tblSeances[volume_m],tblSeances[id_nageur],$A33,tblSeances[lundi],$B33-7,tblSeances[faite],"oui"))</f>
        <v/>
      </c>
      <c r="P33" s="16">
        <f>IF($A33="","",IFERROR(AVERAGEIFS(tblSeances[rpe],tblSeances[id_nageur],$A33,tblSeances[lundi],$B33-7,tblSeances[faite],"oui"),""))</f>
        <v/>
      </c>
      <c r="Q33" s="13">
        <f>IF($A33="","",COUNTIFS(tblSeances[id_nageur],$A33,tblSeances[lundi],$B33,tblSeances[qualite],"casse"))</f>
        <v/>
      </c>
      <c r="R33" s="13">
        <f>IF($A33="","",IFERROR(INDEX(tblNageurs[seances_sem],MATCH($A33,tblNageurs[id],0)),3))</f>
        <v/>
      </c>
    </row>
    <row r="34" ht="28" customHeight="1">
      <c r="A34" s="34" t="n"/>
      <c r="B34" s="35" t="n"/>
      <c r="C34" s="20">
        <f>IF($A34="","",COUNTIFS(tblSeances[id_nageur],$A34,tblSeances[lundi],$B34,tblSeances[faite],"oui"))</f>
        <v/>
      </c>
      <c r="D34" s="20">
        <f>IF($A34="","",SUMIFS(tblSeances[volume_m],tblSeances[id_nageur],$A34,tblSeances[lundi],$B34,tblSeances[faite],"oui"))</f>
        <v/>
      </c>
      <c r="E34" s="23">
        <f>IF($A34="","",IFERROR(AVERAGEIFS(tblSeances[rpe],tblSeances[id_nageur],$A34,tblSeances[lundi],$B34,tblSeances[faite],"oui"),""))</f>
        <v/>
      </c>
      <c r="F34" s="24">
        <f>IF(OR($A34="",O34="",O34=0),"", (D34-O34)/O34)</f>
        <v/>
      </c>
      <c r="G34" s="20">
        <f>IF($A34="","",IFERROR(INDEX(FILTER(tblSeances[type_semaine],(tblSeances[id_nageur]=$A34)*(tblSeances[lundi]=$B34)*(tblSeances[type_semaine]&lt;&gt;"")),1),IF(AND(O34&gt;0,D34&lt;=0.7*O34),"allegee","normale")))</f>
        <v/>
      </c>
      <c r="H34" s="23">
        <f>IF($A34="","",IFERROR(LET(d,MAXIFS(tblSeances[lundi],tblSeances[id_nageur],$A34,tblSeances[type_semaine],"allegee"),IF(d=0,"",($B34-d)/7)),""))</f>
        <v/>
      </c>
      <c r="I34" s="23">
        <f>IF($A34="","",IFERROR(LET(d,MAXIFS(tblTests[date],tblTests[id_nageur],$A34,tblTests[protocole],"T100",tblTests[valide],"oui"),IF(d=0,"",($B34-d)/7)),""))</f>
        <v/>
      </c>
      <c r="J34" s="23">
        <f>IF($A34="","",IFERROR(LET(d,MAXIFS(tblTests[date],tblTests[id_nageur],$A34,tblTests[protocole],"T400",tblTests[valide],"oui"),IF(d=0,"",($B34-d)/7)),""))</f>
        <v/>
      </c>
      <c r="K34" s="23">
        <f>IF($A34="","",IFERROR((XLOOKUP($A34,tblObjectifs[cle_dashboard],tblObjectifs[date_objectif])-$B34)/7,""))</f>
        <v/>
      </c>
      <c r="L34" s="20">
        <f>IF($A34="","",IFS(C34&lt;=1,"",AND(K34&lt;&gt;"",K34&lt;=3),"affutage",G34="allegee","en_cours",AND(H34&lt;&gt;"",H34&gt;=IF(R34&lt;=2,5,3),C34&gt;=IF(R34&lt;=2,2,3)),"due",AND(F34&lt;&gt;"",F34&gt;0.1),"volume_+10%",AND(E34&lt;&gt;"",E34&gt;=8,P34&lt;&gt;"",P34&gt;=8),"rpe_2sem",Q34&gt;=2,"trop_casse",TRUE,""))</f>
        <v/>
      </c>
      <c r="M34" s="20">
        <f>IF($A34="","",IFS(AND(K34&lt;&gt;"",K34&lt;=3),"pas_maintenant",G34="allegee","attendre_fin_deload",AND(E34&lt;&gt;"",E34&gt;=8),"pas_maintenant",AND(I34&lt;&gt;"",I34&gt;=5,J34&lt;&gt;"",J34&gt;=7),"tester_A_et_B",AND(I34&lt;&gt;"",I34&gt;=5),"tester_A",AND(J34&lt;&gt;"",J34&gt;=7),"tester_B",TRUE,""))</f>
        <v/>
      </c>
      <c r="N34" s="22">
        <f>IF($A34="","",TEXTJOIN(" · ",TRUE,IF(L34="due","Deload cette semaine (−30% vol, RPE≤6, pas de max)",""),IF(L34="en_cours","Deload en cours — garder le leger",""),IF(L34="volume_+10%","Volume +10% vs S-1 — alleger S+1",""),IF(L34="rpe_2sem","RPE eleve 2 sem — alleger maintenant",""),IF(L34="trop_casse","Trop de seances cassees — recup cette semaine",""),IF(L34="affutage","Affutage : plus de max, allure de course",""),IF(M34="tester_A","Retest A (T50+T100) apres une seance facile",""),IF(M34="tester_B","Retest B (T200+T400) a frais",""),IF(M34="tester_A_et_B","Retest A cette sem, B la suivante",""),IF(M34="attendre_fin_deload","Retest apres le deload, pas pendant",""),IF(M34="pas_maintenant","Pas de test a fond",""),IF(AND(L34="",M34=""),"Charge OK — semaine normale","")))</f>
        <v/>
      </c>
      <c r="O34" s="20">
        <f>IF($A34="","",SUMIFS(tblSeances[volume_m],tblSeances[id_nageur],$A34,tblSeances[lundi],$B34-7,tblSeances[faite],"oui"))</f>
        <v/>
      </c>
      <c r="P34" s="23">
        <f>IF($A34="","",IFERROR(AVERAGEIFS(tblSeances[rpe],tblSeances[id_nageur],$A34,tblSeances[lundi],$B34-7,tblSeances[faite],"oui"),""))</f>
        <v/>
      </c>
      <c r="Q34" s="20">
        <f>IF($A34="","",COUNTIFS(tblSeances[id_nageur],$A34,tblSeances[lundi],$B34,tblSeances[qualite],"casse"))</f>
        <v/>
      </c>
      <c r="R34" s="20">
        <f>IF($A34="","",IFERROR(INDEX(tblNageurs[seances_sem],MATCH($A34,tblNageurs[id],0)),3))</f>
        <v/>
      </c>
    </row>
    <row r="35" ht="28" customHeight="1">
      <c r="A35" s="34" t="n"/>
      <c r="B35" s="35" t="n"/>
      <c r="C35" s="13">
        <f>IF($A35="","",COUNTIFS(tblSeances[id_nageur],$A35,tblSeances[lundi],$B35,tblSeances[faite],"oui"))</f>
        <v/>
      </c>
      <c r="D35" s="13">
        <f>IF($A35="","",SUMIFS(tblSeances[volume_m],tblSeances[id_nageur],$A35,tblSeances[lundi],$B35,tblSeances[faite],"oui"))</f>
        <v/>
      </c>
      <c r="E35" s="16">
        <f>IF($A35="","",IFERROR(AVERAGEIFS(tblSeances[rpe],tblSeances[id_nageur],$A35,tblSeances[lundi],$B35,tblSeances[faite],"oui"),""))</f>
        <v/>
      </c>
      <c r="F35" s="17">
        <f>IF(OR($A35="",O35="",O35=0),"", (D35-O35)/O35)</f>
        <v/>
      </c>
      <c r="G35" s="13">
        <f>IF($A35="","",IFERROR(INDEX(FILTER(tblSeances[type_semaine],(tblSeances[id_nageur]=$A35)*(tblSeances[lundi]=$B35)*(tblSeances[type_semaine]&lt;&gt;"")),1),IF(AND(O35&gt;0,D35&lt;=0.7*O35),"allegee","normale")))</f>
        <v/>
      </c>
      <c r="H35" s="16">
        <f>IF($A35="","",IFERROR(LET(d,MAXIFS(tblSeances[lundi],tblSeances[id_nageur],$A35,tblSeances[type_semaine],"allegee"),IF(d=0,"",($B35-d)/7)),""))</f>
        <v/>
      </c>
      <c r="I35" s="16">
        <f>IF($A35="","",IFERROR(LET(d,MAXIFS(tblTests[date],tblTests[id_nageur],$A35,tblTests[protocole],"T100",tblTests[valide],"oui"),IF(d=0,"",($B35-d)/7)),""))</f>
        <v/>
      </c>
      <c r="J35" s="16">
        <f>IF($A35="","",IFERROR(LET(d,MAXIFS(tblTests[date],tblTests[id_nageur],$A35,tblTests[protocole],"T400",tblTests[valide],"oui"),IF(d=0,"",($B35-d)/7)),""))</f>
        <v/>
      </c>
      <c r="K35" s="16">
        <f>IF($A35="","",IFERROR((XLOOKUP($A35,tblObjectifs[cle_dashboard],tblObjectifs[date_objectif])-$B35)/7,""))</f>
        <v/>
      </c>
      <c r="L35" s="13">
        <f>IF($A35="","",IFS(C35&lt;=1,"",AND(K35&lt;&gt;"",K35&lt;=3),"affutage",G35="allegee","en_cours",AND(H35&lt;&gt;"",H35&gt;=IF(R35&lt;=2,5,3),C35&gt;=IF(R35&lt;=2,2,3)),"due",AND(F35&lt;&gt;"",F35&gt;0.1),"volume_+10%",AND(E35&lt;&gt;"",E35&gt;=8,P35&lt;&gt;"",P35&gt;=8),"rpe_2sem",Q35&gt;=2,"trop_casse",TRUE,""))</f>
        <v/>
      </c>
      <c r="M35" s="13">
        <f>IF($A35="","",IFS(AND(K35&lt;&gt;"",K35&lt;=3),"pas_maintenant",G35="allegee","attendre_fin_deload",AND(E35&lt;&gt;"",E35&gt;=8),"pas_maintenant",AND(I35&lt;&gt;"",I35&gt;=5,J35&lt;&gt;"",J35&gt;=7),"tester_A_et_B",AND(I35&lt;&gt;"",I35&gt;=5),"tester_A",AND(J35&lt;&gt;"",J35&gt;=7),"tester_B",TRUE,""))</f>
        <v/>
      </c>
      <c r="N35" s="15">
        <f>IF($A35="","",TEXTJOIN(" · ",TRUE,IF(L35="due","Deload cette semaine (−30% vol, RPE≤6, pas de max)",""),IF(L35="en_cours","Deload en cours — garder le leger",""),IF(L35="volume_+10%","Volume +10% vs S-1 — alleger S+1",""),IF(L35="rpe_2sem","RPE eleve 2 sem — alleger maintenant",""),IF(L35="trop_casse","Trop de seances cassees — recup cette semaine",""),IF(L35="affutage","Affutage : plus de max, allure de course",""),IF(M35="tester_A","Retest A (T50+T100) apres une seance facile",""),IF(M35="tester_B","Retest B (T200+T400) a frais",""),IF(M35="tester_A_et_B","Retest A cette sem, B la suivante",""),IF(M35="attendre_fin_deload","Retest apres le deload, pas pendant",""),IF(M35="pas_maintenant","Pas de test a fond",""),IF(AND(L35="",M35=""),"Charge OK — semaine normale","")))</f>
        <v/>
      </c>
      <c r="O35" s="13">
        <f>IF($A35="","",SUMIFS(tblSeances[volume_m],tblSeances[id_nageur],$A35,tblSeances[lundi],$B35-7,tblSeances[faite],"oui"))</f>
        <v/>
      </c>
      <c r="P35" s="16">
        <f>IF($A35="","",IFERROR(AVERAGEIFS(tblSeances[rpe],tblSeances[id_nageur],$A35,tblSeances[lundi],$B35-7,tblSeances[faite],"oui"),""))</f>
        <v/>
      </c>
      <c r="Q35" s="13">
        <f>IF($A35="","",COUNTIFS(tblSeances[id_nageur],$A35,tblSeances[lundi],$B35,tblSeances[qualite],"casse"))</f>
        <v/>
      </c>
      <c r="R35" s="13">
        <f>IF($A35="","",IFERROR(INDEX(tblNageurs[seances_sem],MATCH($A35,tblNageurs[id],0)),3))</f>
        <v/>
      </c>
    </row>
    <row r="36" ht="28" customHeight="1">
      <c r="A36" s="34" t="n"/>
      <c r="B36" s="35" t="n"/>
      <c r="C36" s="20">
        <f>IF($A36="","",COUNTIFS(tblSeances[id_nageur],$A36,tblSeances[lundi],$B36,tblSeances[faite],"oui"))</f>
        <v/>
      </c>
      <c r="D36" s="20">
        <f>IF($A36="","",SUMIFS(tblSeances[volume_m],tblSeances[id_nageur],$A36,tblSeances[lundi],$B36,tblSeances[faite],"oui"))</f>
        <v/>
      </c>
      <c r="E36" s="23">
        <f>IF($A36="","",IFERROR(AVERAGEIFS(tblSeances[rpe],tblSeances[id_nageur],$A36,tblSeances[lundi],$B36,tblSeances[faite],"oui"),""))</f>
        <v/>
      </c>
      <c r="F36" s="24">
        <f>IF(OR($A36="",O36="",O36=0),"", (D36-O36)/O36)</f>
        <v/>
      </c>
      <c r="G36" s="20">
        <f>IF($A36="","",IFERROR(INDEX(FILTER(tblSeances[type_semaine],(tblSeances[id_nageur]=$A36)*(tblSeances[lundi]=$B36)*(tblSeances[type_semaine]&lt;&gt;"")),1),IF(AND(O36&gt;0,D36&lt;=0.7*O36),"allegee","normale")))</f>
        <v/>
      </c>
      <c r="H36" s="23">
        <f>IF($A36="","",IFERROR(LET(d,MAXIFS(tblSeances[lundi],tblSeances[id_nageur],$A36,tblSeances[type_semaine],"allegee"),IF(d=0,"",($B36-d)/7)),""))</f>
        <v/>
      </c>
      <c r="I36" s="23">
        <f>IF($A36="","",IFERROR(LET(d,MAXIFS(tblTests[date],tblTests[id_nageur],$A36,tblTests[protocole],"T100",tblTests[valide],"oui"),IF(d=0,"",($B36-d)/7)),""))</f>
        <v/>
      </c>
      <c r="J36" s="23">
        <f>IF($A36="","",IFERROR(LET(d,MAXIFS(tblTests[date],tblTests[id_nageur],$A36,tblTests[protocole],"T400",tblTests[valide],"oui"),IF(d=0,"",($B36-d)/7)),""))</f>
        <v/>
      </c>
      <c r="K36" s="23">
        <f>IF($A36="","",IFERROR((XLOOKUP($A36,tblObjectifs[cle_dashboard],tblObjectifs[date_objectif])-$B36)/7,""))</f>
        <v/>
      </c>
      <c r="L36" s="20">
        <f>IF($A36="","",IFS(C36&lt;=1,"",AND(K36&lt;&gt;"",K36&lt;=3),"affutage",G36="allegee","en_cours",AND(H36&lt;&gt;"",H36&gt;=IF(R36&lt;=2,5,3),C36&gt;=IF(R36&lt;=2,2,3)),"due",AND(F36&lt;&gt;"",F36&gt;0.1),"volume_+10%",AND(E36&lt;&gt;"",E36&gt;=8,P36&lt;&gt;"",P36&gt;=8),"rpe_2sem",Q36&gt;=2,"trop_casse",TRUE,""))</f>
        <v/>
      </c>
      <c r="M36" s="20">
        <f>IF($A36="","",IFS(AND(K36&lt;&gt;"",K36&lt;=3),"pas_maintenant",G36="allegee","attendre_fin_deload",AND(E36&lt;&gt;"",E36&gt;=8),"pas_maintenant",AND(I36&lt;&gt;"",I36&gt;=5,J36&lt;&gt;"",J36&gt;=7),"tester_A_et_B",AND(I36&lt;&gt;"",I36&gt;=5),"tester_A",AND(J36&lt;&gt;"",J36&gt;=7),"tester_B",TRUE,""))</f>
        <v/>
      </c>
      <c r="N36" s="22">
        <f>IF($A36="","",TEXTJOIN(" · ",TRUE,IF(L36="due","Deload cette semaine (−30% vol, RPE≤6, pas de max)",""),IF(L36="en_cours","Deload en cours — garder le leger",""),IF(L36="volume_+10%","Volume +10% vs S-1 — alleger S+1",""),IF(L36="rpe_2sem","RPE eleve 2 sem — alleger maintenant",""),IF(L36="trop_casse","Trop de seances cassees — recup cette semaine",""),IF(L36="affutage","Affutage : plus de max, allure de course",""),IF(M36="tester_A","Retest A (T50+T100) apres une seance facile",""),IF(M36="tester_B","Retest B (T200+T400) a frais",""),IF(M36="tester_A_et_B","Retest A cette sem, B la suivante",""),IF(M36="attendre_fin_deload","Retest apres le deload, pas pendant",""),IF(M36="pas_maintenant","Pas de test a fond",""),IF(AND(L36="",M36=""),"Charge OK — semaine normale","")))</f>
        <v/>
      </c>
      <c r="O36" s="20">
        <f>IF($A36="","",SUMIFS(tblSeances[volume_m],tblSeances[id_nageur],$A36,tblSeances[lundi],$B36-7,tblSeances[faite],"oui"))</f>
        <v/>
      </c>
      <c r="P36" s="23">
        <f>IF($A36="","",IFERROR(AVERAGEIFS(tblSeances[rpe],tblSeances[id_nageur],$A36,tblSeances[lundi],$B36-7,tblSeances[faite],"oui"),""))</f>
        <v/>
      </c>
      <c r="Q36" s="20">
        <f>IF($A36="","",COUNTIFS(tblSeances[id_nageur],$A36,tblSeances[lundi],$B36,tblSeances[qualite],"casse"))</f>
        <v/>
      </c>
      <c r="R36" s="20">
        <f>IF($A36="","",IFERROR(INDEX(tblNageurs[seances_sem],MATCH($A36,tblNageurs[id],0)),3))</f>
        <v/>
      </c>
    </row>
    <row r="37" ht="28" customHeight="1">
      <c r="A37" s="34" t="n"/>
      <c r="B37" s="35" t="n"/>
      <c r="C37" s="13">
        <f>IF($A37="","",COUNTIFS(tblSeances[id_nageur],$A37,tblSeances[lundi],$B37,tblSeances[faite],"oui"))</f>
        <v/>
      </c>
      <c r="D37" s="13">
        <f>IF($A37="","",SUMIFS(tblSeances[volume_m],tblSeances[id_nageur],$A37,tblSeances[lundi],$B37,tblSeances[faite],"oui"))</f>
        <v/>
      </c>
      <c r="E37" s="16">
        <f>IF($A37="","",IFERROR(AVERAGEIFS(tblSeances[rpe],tblSeances[id_nageur],$A37,tblSeances[lundi],$B37,tblSeances[faite],"oui"),""))</f>
        <v/>
      </c>
      <c r="F37" s="17">
        <f>IF(OR($A37="",O37="",O37=0),"", (D37-O37)/O37)</f>
        <v/>
      </c>
      <c r="G37" s="13">
        <f>IF($A37="","",IFERROR(INDEX(FILTER(tblSeances[type_semaine],(tblSeances[id_nageur]=$A37)*(tblSeances[lundi]=$B37)*(tblSeances[type_semaine]&lt;&gt;"")),1),IF(AND(O37&gt;0,D37&lt;=0.7*O37),"allegee","normale")))</f>
        <v/>
      </c>
      <c r="H37" s="16">
        <f>IF($A37="","",IFERROR(LET(d,MAXIFS(tblSeances[lundi],tblSeances[id_nageur],$A37,tblSeances[type_semaine],"allegee"),IF(d=0,"",($B37-d)/7)),""))</f>
        <v/>
      </c>
      <c r="I37" s="16">
        <f>IF($A37="","",IFERROR(LET(d,MAXIFS(tblTests[date],tblTests[id_nageur],$A37,tblTests[protocole],"T100",tblTests[valide],"oui"),IF(d=0,"",($B37-d)/7)),""))</f>
        <v/>
      </c>
      <c r="J37" s="16">
        <f>IF($A37="","",IFERROR(LET(d,MAXIFS(tblTests[date],tblTests[id_nageur],$A37,tblTests[protocole],"T400",tblTests[valide],"oui"),IF(d=0,"",($B37-d)/7)),""))</f>
        <v/>
      </c>
      <c r="K37" s="16">
        <f>IF($A37="","",IFERROR((XLOOKUP($A37,tblObjectifs[cle_dashboard],tblObjectifs[date_objectif])-$B37)/7,""))</f>
        <v/>
      </c>
      <c r="L37" s="13">
        <f>IF($A37="","",IFS(C37&lt;=1,"",AND(K37&lt;&gt;"",K37&lt;=3),"affutage",G37="allegee","en_cours",AND(H37&lt;&gt;"",H37&gt;=IF(R37&lt;=2,5,3),C37&gt;=IF(R37&lt;=2,2,3)),"due",AND(F37&lt;&gt;"",F37&gt;0.1),"volume_+10%",AND(E37&lt;&gt;"",E37&gt;=8,P37&lt;&gt;"",P37&gt;=8),"rpe_2sem",Q37&gt;=2,"trop_casse",TRUE,""))</f>
        <v/>
      </c>
      <c r="M37" s="13">
        <f>IF($A37="","",IFS(AND(K37&lt;&gt;"",K37&lt;=3),"pas_maintenant",G37="allegee","attendre_fin_deload",AND(E37&lt;&gt;"",E37&gt;=8),"pas_maintenant",AND(I37&lt;&gt;"",I37&gt;=5,J37&lt;&gt;"",J37&gt;=7),"tester_A_et_B",AND(I37&lt;&gt;"",I37&gt;=5),"tester_A",AND(J37&lt;&gt;"",J37&gt;=7),"tester_B",TRUE,""))</f>
        <v/>
      </c>
      <c r="N37" s="15">
        <f>IF($A37="","",TEXTJOIN(" · ",TRUE,IF(L37="due","Deload cette semaine (−30% vol, RPE≤6, pas de max)",""),IF(L37="en_cours","Deload en cours — garder le leger",""),IF(L37="volume_+10%","Volume +10% vs S-1 — alleger S+1",""),IF(L37="rpe_2sem","RPE eleve 2 sem — alleger maintenant",""),IF(L37="trop_casse","Trop de seances cassees — recup cette semaine",""),IF(L37="affutage","Affutage : plus de max, allure de course",""),IF(M37="tester_A","Retest A (T50+T100) apres une seance facile",""),IF(M37="tester_B","Retest B (T200+T400) a frais",""),IF(M37="tester_A_et_B","Retest A cette sem, B la suivante",""),IF(M37="attendre_fin_deload","Retest apres le deload, pas pendant",""),IF(M37="pas_maintenant","Pas de test a fond",""),IF(AND(L37="",M37=""),"Charge OK — semaine normale","")))</f>
        <v/>
      </c>
      <c r="O37" s="13">
        <f>IF($A37="","",SUMIFS(tblSeances[volume_m],tblSeances[id_nageur],$A37,tblSeances[lundi],$B37-7,tblSeances[faite],"oui"))</f>
        <v/>
      </c>
      <c r="P37" s="16">
        <f>IF($A37="","",IFERROR(AVERAGEIFS(tblSeances[rpe],tblSeances[id_nageur],$A37,tblSeances[lundi],$B37-7,tblSeances[faite],"oui"),""))</f>
        <v/>
      </c>
      <c r="Q37" s="13">
        <f>IF($A37="","",COUNTIFS(tblSeances[id_nageur],$A37,tblSeances[lundi],$B37,tblSeances[qualite],"casse"))</f>
        <v/>
      </c>
      <c r="R37" s="13">
        <f>IF($A37="","",IFERROR(INDEX(tblNageurs[seances_sem],MATCH($A37,tblNageurs[id],0)),3))</f>
        <v/>
      </c>
    </row>
    <row r="38" ht="28" customHeight="1">
      <c r="A38" s="34" t="n"/>
      <c r="B38" s="35" t="n"/>
      <c r="C38" s="20">
        <f>IF($A38="","",COUNTIFS(tblSeances[id_nageur],$A38,tblSeances[lundi],$B38,tblSeances[faite],"oui"))</f>
        <v/>
      </c>
      <c r="D38" s="20">
        <f>IF($A38="","",SUMIFS(tblSeances[volume_m],tblSeances[id_nageur],$A38,tblSeances[lundi],$B38,tblSeances[faite],"oui"))</f>
        <v/>
      </c>
      <c r="E38" s="23">
        <f>IF($A38="","",IFERROR(AVERAGEIFS(tblSeances[rpe],tblSeances[id_nageur],$A38,tblSeances[lundi],$B38,tblSeances[faite],"oui"),""))</f>
        <v/>
      </c>
      <c r="F38" s="24">
        <f>IF(OR($A38="",O38="",O38=0),"", (D38-O38)/O38)</f>
        <v/>
      </c>
      <c r="G38" s="20">
        <f>IF($A38="","",IFERROR(INDEX(FILTER(tblSeances[type_semaine],(tblSeances[id_nageur]=$A38)*(tblSeances[lundi]=$B38)*(tblSeances[type_semaine]&lt;&gt;"")),1),IF(AND(O38&gt;0,D38&lt;=0.7*O38),"allegee","normale")))</f>
        <v/>
      </c>
      <c r="H38" s="23">
        <f>IF($A38="","",IFERROR(LET(d,MAXIFS(tblSeances[lundi],tblSeances[id_nageur],$A38,tblSeances[type_semaine],"allegee"),IF(d=0,"",($B38-d)/7)),""))</f>
        <v/>
      </c>
      <c r="I38" s="23">
        <f>IF($A38="","",IFERROR(LET(d,MAXIFS(tblTests[date],tblTests[id_nageur],$A38,tblTests[protocole],"T100",tblTests[valide],"oui"),IF(d=0,"",($B38-d)/7)),""))</f>
        <v/>
      </c>
      <c r="J38" s="23">
        <f>IF($A38="","",IFERROR(LET(d,MAXIFS(tblTests[date],tblTests[id_nageur],$A38,tblTests[protocole],"T400",tblTests[valide],"oui"),IF(d=0,"",($B38-d)/7)),""))</f>
        <v/>
      </c>
      <c r="K38" s="23">
        <f>IF($A38="","",IFERROR((XLOOKUP($A38,tblObjectifs[cle_dashboard],tblObjectifs[date_objectif])-$B38)/7,""))</f>
        <v/>
      </c>
      <c r="L38" s="20">
        <f>IF($A38="","",IFS(C38&lt;=1,"",AND(K38&lt;&gt;"",K38&lt;=3),"affutage",G38="allegee","en_cours",AND(H38&lt;&gt;"",H38&gt;=IF(R38&lt;=2,5,3),C38&gt;=IF(R38&lt;=2,2,3)),"due",AND(F38&lt;&gt;"",F38&gt;0.1),"volume_+10%",AND(E38&lt;&gt;"",E38&gt;=8,P38&lt;&gt;"",P38&gt;=8),"rpe_2sem",Q38&gt;=2,"trop_casse",TRUE,""))</f>
        <v/>
      </c>
      <c r="M38" s="20">
        <f>IF($A38="","",IFS(AND(K38&lt;&gt;"",K38&lt;=3),"pas_maintenant",G38="allegee","attendre_fin_deload",AND(E38&lt;&gt;"",E38&gt;=8),"pas_maintenant",AND(I38&lt;&gt;"",I38&gt;=5,J38&lt;&gt;"",J38&gt;=7),"tester_A_et_B",AND(I38&lt;&gt;"",I38&gt;=5),"tester_A",AND(J38&lt;&gt;"",J38&gt;=7),"tester_B",TRUE,""))</f>
        <v/>
      </c>
      <c r="N38" s="22">
        <f>IF($A38="","",TEXTJOIN(" · ",TRUE,IF(L38="due","Deload cette semaine (−30% vol, RPE≤6, pas de max)",""),IF(L38="en_cours","Deload en cours — garder le leger",""),IF(L38="volume_+10%","Volume +10% vs S-1 — alleger S+1",""),IF(L38="rpe_2sem","RPE eleve 2 sem — alleger maintenant",""),IF(L38="trop_casse","Trop de seances cassees — recup cette semaine",""),IF(L38="affutage","Affutage : plus de max, allure de course",""),IF(M38="tester_A","Retest A (T50+T100) apres une seance facile",""),IF(M38="tester_B","Retest B (T200+T400) a frais",""),IF(M38="tester_A_et_B","Retest A cette sem, B la suivante",""),IF(M38="attendre_fin_deload","Retest apres le deload, pas pendant",""),IF(M38="pas_maintenant","Pas de test a fond",""),IF(AND(L38="",M38=""),"Charge OK — semaine normale","")))</f>
        <v/>
      </c>
      <c r="O38" s="20">
        <f>IF($A38="","",SUMIFS(tblSeances[volume_m],tblSeances[id_nageur],$A38,tblSeances[lundi],$B38-7,tblSeances[faite],"oui"))</f>
        <v/>
      </c>
      <c r="P38" s="23">
        <f>IF($A38="","",IFERROR(AVERAGEIFS(tblSeances[rpe],tblSeances[id_nageur],$A38,tblSeances[lundi],$B38-7,tblSeances[faite],"oui"),""))</f>
        <v/>
      </c>
      <c r="Q38" s="20">
        <f>IF($A38="","",COUNTIFS(tblSeances[id_nageur],$A38,tblSeances[lundi],$B38,tblSeances[qualite],"casse"))</f>
        <v/>
      </c>
      <c r="R38" s="20">
        <f>IF($A38="","",IFERROR(INDEX(tblNageurs[seances_sem],MATCH($A38,tblNageurs[id],0)),3))</f>
        <v/>
      </c>
    </row>
    <row r="39" ht="28" customHeight="1">
      <c r="A39" s="34" t="n"/>
      <c r="B39" s="35" t="n"/>
      <c r="C39" s="13">
        <f>IF($A39="","",COUNTIFS(tblSeances[id_nageur],$A39,tblSeances[lundi],$B39,tblSeances[faite],"oui"))</f>
        <v/>
      </c>
      <c r="D39" s="13">
        <f>IF($A39="","",SUMIFS(tblSeances[volume_m],tblSeances[id_nageur],$A39,tblSeances[lundi],$B39,tblSeances[faite],"oui"))</f>
        <v/>
      </c>
      <c r="E39" s="16">
        <f>IF($A39="","",IFERROR(AVERAGEIFS(tblSeances[rpe],tblSeances[id_nageur],$A39,tblSeances[lundi],$B39,tblSeances[faite],"oui"),""))</f>
        <v/>
      </c>
      <c r="F39" s="17">
        <f>IF(OR($A39="",O39="",O39=0),"", (D39-O39)/O39)</f>
        <v/>
      </c>
      <c r="G39" s="13">
        <f>IF($A39="","",IFERROR(INDEX(FILTER(tblSeances[type_semaine],(tblSeances[id_nageur]=$A39)*(tblSeances[lundi]=$B39)*(tblSeances[type_semaine]&lt;&gt;"")),1),IF(AND(O39&gt;0,D39&lt;=0.7*O39),"allegee","normale")))</f>
        <v/>
      </c>
      <c r="H39" s="16">
        <f>IF($A39="","",IFERROR(LET(d,MAXIFS(tblSeances[lundi],tblSeances[id_nageur],$A39,tblSeances[type_semaine],"allegee"),IF(d=0,"",($B39-d)/7)),""))</f>
        <v/>
      </c>
      <c r="I39" s="16">
        <f>IF($A39="","",IFERROR(LET(d,MAXIFS(tblTests[date],tblTests[id_nageur],$A39,tblTests[protocole],"T100",tblTests[valide],"oui"),IF(d=0,"",($B39-d)/7)),""))</f>
        <v/>
      </c>
      <c r="J39" s="16">
        <f>IF($A39="","",IFERROR(LET(d,MAXIFS(tblTests[date],tblTests[id_nageur],$A39,tblTests[protocole],"T400",tblTests[valide],"oui"),IF(d=0,"",($B39-d)/7)),""))</f>
        <v/>
      </c>
      <c r="K39" s="16">
        <f>IF($A39="","",IFERROR((XLOOKUP($A39,tblObjectifs[cle_dashboard],tblObjectifs[date_objectif])-$B39)/7,""))</f>
        <v/>
      </c>
      <c r="L39" s="13">
        <f>IF($A39="","",IFS(C39&lt;=1,"",AND(K39&lt;&gt;"",K39&lt;=3),"affutage",G39="allegee","en_cours",AND(H39&lt;&gt;"",H39&gt;=IF(R39&lt;=2,5,3),C39&gt;=IF(R39&lt;=2,2,3)),"due",AND(F39&lt;&gt;"",F39&gt;0.1),"volume_+10%",AND(E39&lt;&gt;"",E39&gt;=8,P39&lt;&gt;"",P39&gt;=8),"rpe_2sem",Q39&gt;=2,"trop_casse",TRUE,""))</f>
        <v/>
      </c>
      <c r="M39" s="13">
        <f>IF($A39="","",IFS(AND(K39&lt;&gt;"",K39&lt;=3),"pas_maintenant",G39="allegee","attendre_fin_deload",AND(E39&lt;&gt;"",E39&gt;=8),"pas_maintenant",AND(I39&lt;&gt;"",I39&gt;=5,J39&lt;&gt;"",J39&gt;=7),"tester_A_et_B",AND(I39&lt;&gt;"",I39&gt;=5),"tester_A",AND(J39&lt;&gt;"",J39&gt;=7),"tester_B",TRUE,""))</f>
        <v/>
      </c>
      <c r="N39" s="15">
        <f>IF($A39="","",TEXTJOIN(" · ",TRUE,IF(L39="due","Deload cette semaine (−30% vol, RPE≤6, pas de max)",""),IF(L39="en_cours","Deload en cours — garder le leger",""),IF(L39="volume_+10%","Volume +10% vs S-1 — alleger S+1",""),IF(L39="rpe_2sem","RPE eleve 2 sem — alleger maintenant",""),IF(L39="trop_casse","Trop de seances cassees — recup cette semaine",""),IF(L39="affutage","Affutage : plus de max, allure de course",""),IF(M39="tester_A","Retest A (T50+T100) apres une seance facile",""),IF(M39="tester_B","Retest B (T200+T400) a frais",""),IF(M39="tester_A_et_B","Retest A cette sem, B la suivante",""),IF(M39="attendre_fin_deload","Retest apres le deload, pas pendant",""),IF(M39="pas_maintenant","Pas de test a fond",""),IF(AND(L39="",M39=""),"Charge OK — semaine normale","")))</f>
        <v/>
      </c>
      <c r="O39" s="13">
        <f>IF($A39="","",SUMIFS(tblSeances[volume_m],tblSeances[id_nageur],$A39,tblSeances[lundi],$B39-7,tblSeances[faite],"oui"))</f>
        <v/>
      </c>
      <c r="P39" s="16">
        <f>IF($A39="","",IFERROR(AVERAGEIFS(tblSeances[rpe],tblSeances[id_nageur],$A39,tblSeances[lundi],$B39-7,tblSeances[faite],"oui"),""))</f>
        <v/>
      </c>
      <c r="Q39" s="13">
        <f>IF($A39="","",COUNTIFS(tblSeances[id_nageur],$A39,tblSeances[lundi],$B39,tblSeances[qualite],"casse"))</f>
        <v/>
      </c>
      <c r="R39" s="13">
        <f>IF($A39="","",IFERROR(INDEX(tblNageurs[seances_sem],MATCH($A39,tblNageurs[id],0)),3))</f>
        <v/>
      </c>
    </row>
    <row r="40" ht="28" customHeight="1">
      <c r="A40" s="34" t="n"/>
      <c r="B40" s="35" t="n"/>
      <c r="C40" s="20">
        <f>IF($A40="","",COUNTIFS(tblSeances[id_nageur],$A40,tblSeances[lundi],$B40,tblSeances[faite],"oui"))</f>
        <v/>
      </c>
      <c r="D40" s="20">
        <f>IF($A40="","",SUMIFS(tblSeances[volume_m],tblSeances[id_nageur],$A40,tblSeances[lundi],$B40,tblSeances[faite],"oui"))</f>
        <v/>
      </c>
      <c r="E40" s="23">
        <f>IF($A40="","",IFERROR(AVERAGEIFS(tblSeances[rpe],tblSeances[id_nageur],$A40,tblSeances[lundi],$B40,tblSeances[faite],"oui"),""))</f>
        <v/>
      </c>
      <c r="F40" s="24">
        <f>IF(OR($A40="",O40="",O40=0),"", (D40-O40)/O40)</f>
        <v/>
      </c>
      <c r="G40" s="20">
        <f>IF($A40="","",IFERROR(INDEX(FILTER(tblSeances[type_semaine],(tblSeances[id_nageur]=$A40)*(tblSeances[lundi]=$B40)*(tblSeances[type_semaine]&lt;&gt;"")),1),IF(AND(O40&gt;0,D40&lt;=0.7*O40),"allegee","normale")))</f>
        <v/>
      </c>
      <c r="H40" s="23">
        <f>IF($A40="","",IFERROR(LET(d,MAXIFS(tblSeances[lundi],tblSeances[id_nageur],$A40,tblSeances[type_semaine],"allegee"),IF(d=0,"",($B40-d)/7)),""))</f>
        <v/>
      </c>
      <c r="I40" s="23">
        <f>IF($A40="","",IFERROR(LET(d,MAXIFS(tblTests[date],tblTests[id_nageur],$A40,tblTests[protocole],"T100",tblTests[valide],"oui"),IF(d=0,"",($B40-d)/7)),""))</f>
        <v/>
      </c>
      <c r="J40" s="23">
        <f>IF($A40="","",IFERROR(LET(d,MAXIFS(tblTests[date],tblTests[id_nageur],$A40,tblTests[protocole],"T400",tblTests[valide],"oui"),IF(d=0,"",($B40-d)/7)),""))</f>
        <v/>
      </c>
      <c r="K40" s="23">
        <f>IF($A40="","",IFERROR((XLOOKUP($A40,tblObjectifs[cle_dashboard],tblObjectifs[date_objectif])-$B40)/7,""))</f>
        <v/>
      </c>
      <c r="L40" s="20">
        <f>IF($A40="","",IFS(C40&lt;=1,"",AND(K40&lt;&gt;"",K40&lt;=3),"affutage",G40="allegee","en_cours",AND(H40&lt;&gt;"",H40&gt;=IF(R40&lt;=2,5,3),C40&gt;=IF(R40&lt;=2,2,3)),"due",AND(F40&lt;&gt;"",F40&gt;0.1),"volume_+10%",AND(E40&lt;&gt;"",E40&gt;=8,P40&lt;&gt;"",P40&gt;=8),"rpe_2sem",Q40&gt;=2,"trop_casse",TRUE,""))</f>
        <v/>
      </c>
      <c r="M40" s="20">
        <f>IF($A40="","",IFS(AND(K40&lt;&gt;"",K40&lt;=3),"pas_maintenant",G40="allegee","attendre_fin_deload",AND(E40&lt;&gt;"",E40&gt;=8),"pas_maintenant",AND(I40&lt;&gt;"",I40&gt;=5,J40&lt;&gt;"",J40&gt;=7),"tester_A_et_B",AND(I40&lt;&gt;"",I40&gt;=5),"tester_A",AND(J40&lt;&gt;"",J40&gt;=7),"tester_B",TRUE,""))</f>
        <v/>
      </c>
      <c r="N40" s="22">
        <f>IF($A40="","",TEXTJOIN(" · ",TRUE,IF(L40="due","Deload cette semaine (−30% vol, RPE≤6, pas de max)",""),IF(L40="en_cours","Deload en cours — garder le leger",""),IF(L40="volume_+10%","Volume +10% vs S-1 — alleger S+1",""),IF(L40="rpe_2sem","RPE eleve 2 sem — alleger maintenant",""),IF(L40="trop_casse","Trop de seances cassees — recup cette semaine",""),IF(L40="affutage","Affutage : plus de max, allure de course",""),IF(M40="tester_A","Retest A (T50+T100) apres une seance facile",""),IF(M40="tester_B","Retest B (T200+T400) a frais",""),IF(M40="tester_A_et_B","Retest A cette sem, B la suivante",""),IF(M40="attendre_fin_deload","Retest apres le deload, pas pendant",""),IF(M40="pas_maintenant","Pas de test a fond",""),IF(AND(L40="",M40=""),"Charge OK — semaine normale","")))</f>
        <v/>
      </c>
      <c r="O40" s="20">
        <f>IF($A40="","",SUMIFS(tblSeances[volume_m],tblSeances[id_nageur],$A40,tblSeances[lundi],$B40-7,tblSeances[faite],"oui"))</f>
        <v/>
      </c>
      <c r="P40" s="23">
        <f>IF($A40="","",IFERROR(AVERAGEIFS(tblSeances[rpe],tblSeances[id_nageur],$A40,tblSeances[lundi],$B40-7,tblSeances[faite],"oui"),""))</f>
        <v/>
      </c>
      <c r="Q40" s="20">
        <f>IF($A40="","",COUNTIFS(tblSeances[id_nageur],$A40,tblSeances[lundi],$B40,tblSeances[qualite],"casse"))</f>
        <v/>
      </c>
      <c r="R40" s="20">
        <f>IF($A40="","",IFERROR(INDEX(tblNageurs[seances_sem],MATCH($A40,tblNageurs[id],0)),3))</f>
        <v/>
      </c>
    </row>
    <row r="41" ht="28" customHeight="1">
      <c r="A41" s="34" t="n"/>
      <c r="B41" s="35" t="n"/>
      <c r="C41" s="13">
        <f>IF($A41="","",COUNTIFS(tblSeances[id_nageur],$A41,tblSeances[lundi],$B41,tblSeances[faite],"oui"))</f>
        <v/>
      </c>
      <c r="D41" s="13">
        <f>IF($A41="","",SUMIFS(tblSeances[volume_m],tblSeances[id_nageur],$A41,tblSeances[lundi],$B41,tblSeances[faite],"oui"))</f>
        <v/>
      </c>
      <c r="E41" s="16">
        <f>IF($A41="","",IFERROR(AVERAGEIFS(tblSeances[rpe],tblSeances[id_nageur],$A41,tblSeances[lundi],$B41,tblSeances[faite],"oui"),""))</f>
        <v/>
      </c>
      <c r="F41" s="17">
        <f>IF(OR($A41="",O41="",O41=0),"", (D41-O41)/O41)</f>
        <v/>
      </c>
      <c r="G41" s="13">
        <f>IF($A41="","",IFERROR(INDEX(FILTER(tblSeances[type_semaine],(tblSeances[id_nageur]=$A41)*(tblSeances[lundi]=$B41)*(tblSeances[type_semaine]&lt;&gt;"")),1),IF(AND(O41&gt;0,D41&lt;=0.7*O41),"allegee","normale")))</f>
        <v/>
      </c>
      <c r="H41" s="16">
        <f>IF($A41="","",IFERROR(LET(d,MAXIFS(tblSeances[lundi],tblSeances[id_nageur],$A41,tblSeances[type_semaine],"allegee"),IF(d=0,"",($B41-d)/7)),""))</f>
        <v/>
      </c>
      <c r="I41" s="16">
        <f>IF($A41="","",IFERROR(LET(d,MAXIFS(tblTests[date],tblTests[id_nageur],$A41,tblTests[protocole],"T100",tblTests[valide],"oui"),IF(d=0,"",($B41-d)/7)),""))</f>
        <v/>
      </c>
      <c r="J41" s="16">
        <f>IF($A41="","",IFERROR(LET(d,MAXIFS(tblTests[date],tblTests[id_nageur],$A41,tblTests[protocole],"T400",tblTests[valide],"oui"),IF(d=0,"",($B41-d)/7)),""))</f>
        <v/>
      </c>
      <c r="K41" s="16">
        <f>IF($A41="","",IFERROR((XLOOKUP($A41,tblObjectifs[cle_dashboard],tblObjectifs[date_objectif])-$B41)/7,""))</f>
        <v/>
      </c>
      <c r="L41" s="13">
        <f>IF($A41="","",IFS(C41&lt;=1,"",AND(K41&lt;&gt;"",K41&lt;=3),"affutage",G41="allegee","en_cours",AND(H41&lt;&gt;"",H41&gt;=IF(R41&lt;=2,5,3),C41&gt;=IF(R41&lt;=2,2,3)),"due",AND(F41&lt;&gt;"",F41&gt;0.1),"volume_+10%",AND(E41&lt;&gt;"",E41&gt;=8,P41&lt;&gt;"",P41&gt;=8),"rpe_2sem",Q41&gt;=2,"trop_casse",TRUE,""))</f>
        <v/>
      </c>
      <c r="M41" s="13">
        <f>IF($A41="","",IFS(AND(K41&lt;&gt;"",K41&lt;=3),"pas_maintenant",G41="allegee","attendre_fin_deload",AND(E41&lt;&gt;"",E41&gt;=8),"pas_maintenant",AND(I41&lt;&gt;"",I41&gt;=5,J41&lt;&gt;"",J41&gt;=7),"tester_A_et_B",AND(I41&lt;&gt;"",I41&gt;=5),"tester_A",AND(J41&lt;&gt;"",J41&gt;=7),"tester_B",TRUE,""))</f>
        <v/>
      </c>
      <c r="N41" s="15">
        <f>IF($A41="","",TEXTJOIN(" · ",TRUE,IF(L41="due","Deload cette semaine (−30% vol, RPE≤6, pas de max)",""),IF(L41="en_cours","Deload en cours — garder le leger",""),IF(L41="volume_+10%","Volume +10% vs S-1 — alleger S+1",""),IF(L41="rpe_2sem","RPE eleve 2 sem — alleger maintenant",""),IF(L41="trop_casse","Trop de seances cassees — recup cette semaine",""),IF(L41="affutage","Affutage : plus de max, allure de course",""),IF(M41="tester_A","Retest A (T50+T100) apres une seance facile",""),IF(M41="tester_B","Retest B (T200+T400) a frais",""),IF(M41="tester_A_et_B","Retest A cette sem, B la suivante",""),IF(M41="attendre_fin_deload","Retest apres le deload, pas pendant",""),IF(M41="pas_maintenant","Pas de test a fond",""),IF(AND(L41="",M41=""),"Charge OK — semaine normale","")))</f>
        <v/>
      </c>
      <c r="O41" s="13">
        <f>IF($A41="","",SUMIFS(tblSeances[volume_m],tblSeances[id_nageur],$A41,tblSeances[lundi],$B41-7,tblSeances[faite],"oui"))</f>
        <v/>
      </c>
      <c r="P41" s="16">
        <f>IF($A41="","",IFERROR(AVERAGEIFS(tblSeances[rpe],tblSeances[id_nageur],$A41,tblSeances[lundi],$B41-7,tblSeances[faite],"oui"),""))</f>
        <v/>
      </c>
      <c r="Q41" s="13">
        <f>IF($A41="","",COUNTIFS(tblSeances[id_nageur],$A41,tblSeances[lundi],$B41,tblSeances[qualite],"casse"))</f>
        <v/>
      </c>
      <c r="R41" s="13">
        <f>IF($A41="","",IFERROR(INDEX(tblNageurs[seances_sem],MATCH($A41,tblNageurs[id],0)),3))</f>
        <v/>
      </c>
    </row>
    <row r="42" ht="28" customHeight="1">
      <c r="A42" s="34" t="n"/>
      <c r="B42" s="35" t="n"/>
      <c r="C42" s="20">
        <f>IF($A42="","",COUNTIFS(tblSeances[id_nageur],$A42,tblSeances[lundi],$B42,tblSeances[faite],"oui"))</f>
        <v/>
      </c>
      <c r="D42" s="20">
        <f>IF($A42="","",SUMIFS(tblSeances[volume_m],tblSeances[id_nageur],$A42,tblSeances[lundi],$B42,tblSeances[faite],"oui"))</f>
        <v/>
      </c>
      <c r="E42" s="23">
        <f>IF($A42="","",IFERROR(AVERAGEIFS(tblSeances[rpe],tblSeances[id_nageur],$A42,tblSeances[lundi],$B42,tblSeances[faite],"oui"),""))</f>
        <v/>
      </c>
      <c r="F42" s="24">
        <f>IF(OR($A42="",O42="",O42=0),"", (D42-O42)/O42)</f>
        <v/>
      </c>
      <c r="G42" s="20">
        <f>IF($A42="","",IFERROR(INDEX(FILTER(tblSeances[type_semaine],(tblSeances[id_nageur]=$A42)*(tblSeances[lundi]=$B42)*(tblSeances[type_semaine]&lt;&gt;"")),1),IF(AND(O42&gt;0,D42&lt;=0.7*O42),"allegee","normale")))</f>
        <v/>
      </c>
      <c r="H42" s="23">
        <f>IF($A42="","",IFERROR(LET(d,MAXIFS(tblSeances[lundi],tblSeances[id_nageur],$A42,tblSeances[type_semaine],"allegee"),IF(d=0,"",($B42-d)/7)),""))</f>
        <v/>
      </c>
      <c r="I42" s="23">
        <f>IF($A42="","",IFERROR(LET(d,MAXIFS(tblTests[date],tblTests[id_nageur],$A42,tblTests[protocole],"T100",tblTests[valide],"oui"),IF(d=0,"",($B42-d)/7)),""))</f>
        <v/>
      </c>
      <c r="J42" s="23">
        <f>IF($A42="","",IFERROR(LET(d,MAXIFS(tblTests[date],tblTests[id_nageur],$A42,tblTests[protocole],"T400",tblTests[valide],"oui"),IF(d=0,"",($B42-d)/7)),""))</f>
        <v/>
      </c>
      <c r="K42" s="23">
        <f>IF($A42="","",IFERROR((XLOOKUP($A42,tblObjectifs[cle_dashboard],tblObjectifs[date_objectif])-$B42)/7,""))</f>
        <v/>
      </c>
      <c r="L42" s="20">
        <f>IF($A42="","",IFS(C42&lt;=1,"",AND(K42&lt;&gt;"",K42&lt;=3),"affutage",G42="allegee","en_cours",AND(H42&lt;&gt;"",H42&gt;=IF(R42&lt;=2,5,3),C42&gt;=IF(R42&lt;=2,2,3)),"due",AND(F42&lt;&gt;"",F42&gt;0.1),"volume_+10%",AND(E42&lt;&gt;"",E42&gt;=8,P42&lt;&gt;"",P42&gt;=8),"rpe_2sem",Q42&gt;=2,"trop_casse",TRUE,""))</f>
        <v/>
      </c>
      <c r="M42" s="20">
        <f>IF($A42="","",IFS(AND(K42&lt;&gt;"",K42&lt;=3),"pas_maintenant",G42="allegee","attendre_fin_deload",AND(E42&lt;&gt;"",E42&gt;=8),"pas_maintenant",AND(I42&lt;&gt;"",I42&gt;=5,J42&lt;&gt;"",J42&gt;=7),"tester_A_et_B",AND(I42&lt;&gt;"",I42&gt;=5),"tester_A",AND(J42&lt;&gt;"",J42&gt;=7),"tester_B",TRUE,""))</f>
        <v/>
      </c>
      <c r="N42" s="22">
        <f>IF($A42="","",TEXTJOIN(" · ",TRUE,IF(L42="due","Deload cette semaine (−30% vol, RPE≤6, pas de max)",""),IF(L42="en_cours","Deload en cours — garder le leger",""),IF(L42="volume_+10%","Volume +10% vs S-1 — alleger S+1",""),IF(L42="rpe_2sem","RPE eleve 2 sem — alleger maintenant",""),IF(L42="trop_casse","Trop de seances cassees — recup cette semaine",""),IF(L42="affutage","Affutage : plus de max, allure de course",""),IF(M42="tester_A","Retest A (T50+T100) apres une seance facile",""),IF(M42="tester_B","Retest B (T200+T400) a frais",""),IF(M42="tester_A_et_B","Retest A cette sem, B la suivante",""),IF(M42="attendre_fin_deload","Retest apres le deload, pas pendant",""),IF(M42="pas_maintenant","Pas de test a fond",""),IF(AND(L42="",M42=""),"Charge OK — semaine normale","")))</f>
        <v/>
      </c>
      <c r="O42" s="20">
        <f>IF($A42="","",SUMIFS(tblSeances[volume_m],tblSeances[id_nageur],$A42,tblSeances[lundi],$B42-7,tblSeances[faite],"oui"))</f>
        <v/>
      </c>
      <c r="P42" s="23">
        <f>IF($A42="","",IFERROR(AVERAGEIFS(tblSeances[rpe],tblSeances[id_nageur],$A42,tblSeances[lundi],$B42-7,tblSeances[faite],"oui"),""))</f>
        <v/>
      </c>
      <c r="Q42" s="20">
        <f>IF($A42="","",COUNTIFS(tblSeances[id_nageur],$A42,tblSeances[lundi],$B42,tblSeances[qualite],"casse"))</f>
        <v/>
      </c>
      <c r="R42" s="20">
        <f>IF($A42="","",IFERROR(INDEX(tblNageurs[seances_sem],MATCH($A42,tblNageurs[id],0)),3))</f>
        <v/>
      </c>
    </row>
    <row r="43" ht="28" customHeight="1">
      <c r="A43" s="34" t="n"/>
      <c r="B43" s="35" t="n"/>
      <c r="C43" s="13">
        <f>IF($A43="","",COUNTIFS(tblSeances[id_nageur],$A43,tblSeances[lundi],$B43,tblSeances[faite],"oui"))</f>
        <v/>
      </c>
      <c r="D43" s="13">
        <f>IF($A43="","",SUMIFS(tblSeances[volume_m],tblSeances[id_nageur],$A43,tblSeances[lundi],$B43,tblSeances[faite],"oui"))</f>
        <v/>
      </c>
      <c r="E43" s="16">
        <f>IF($A43="","",IFERROR(AVERAGEIFS(tblSeances[rpe],tblSeances[id_nageur],$A43,tblSeances[lundi],$B43,tblSeances[faite],"oui"),""))</f>
        <v/>
      </c>
      <c r="F43" s="17">
        <f>IF(OR($A43="",O43="",O43=0),"", (D43-O43)/O43)</f>
        <v/>
      </c>
      <c r="G43" s="13">
        <f>IF($A43="","",IFERROR(INDEX(FILTER(tblSeances[type_semaine],(tblSeances[id_nageur]=$A43)*(tblSeances[lundi]=$B43)*(tblSeances[type_semaine]&lt;&gt;"")),1),IF(AND(O43&gt;0,D43&lt;=0.7*O43),"allegee","normale")))</f>
        <v/>
      </c>
      <c r="H43" s="16">
        <f>IF($A43="","",IFERROR(LET(d,MAXIFS(tblSeances[lundi],tblSeances[id_nageur],$A43,tblSeances[type_semaine],"allegee"),IF(d=0,"",($B43-d)/7)),""))</f>
        <v/>
      </c>
      <c r="I43" s="16">
        <f>IF($A43="","",IFERROR(LET(d,MAXIFS(tblTests[date],tblTests[id_nageur],$A43,tblTests[protocole],"T100",tblTests[valide],"oui"),IF(d=0,"",($B43-d)/7)),""))</f>
        <v/>
      </c>
      <c r="J43" s="16">
        <f>IF($A43="","",IFERROR(LET(d,MAXIFS(tblTests[date],tblTests[id_nageur],$A43,tblTests[protocole],"T400",tblTests[valide],"oui"),IF(d=0,"",($B43-d)/7)),""))</f>
        <v/>
      </c>
      <c r="K43" s="16">
        <f>IF($A43="","",IFERROR((XLOOKUP($A43,tblObjectifs[cle_dashboard],tblObjectifs[date_objectif])-$B43)/7,""))</f>
        <v/>
      </c>
      <c r="L43" s="13">
        <f>IF($A43="","",IFS(C43&lt;=1,"",AND(K43&lt;&gt;"",K43&lt;=3),"affutage",G43="allegee","en_cours",AND(H43&lt;&gt;"",H43&gt;=IF(R43&lt;=2,5,3),C43&gt;=IF(R43&lt;=2,2,3)),"due",AND(F43&lt;&gt;"",F43&gt;0.1),"volume_+10%",AND(E43&lt;&gt;"",E43&gt;=8,P43&lt;&gt;"",P43&gt;=8),"rpe_2sem",Q43&gt;=2,"trop_casse",TRUE,""))</f>
        <v/>
      </c>
      <c r="M43" s="13">
        <f>IF($A43="","",IFS(AND(K43&lt;&gt;"",K43&lt;=3),"pas_maintenant",G43="allegee","attendre_fin_deload",AND(E43&lt;&gt;"",E43&gt;=8),"pas_maintenant",AND(I43&lt;&gt;"",I43&gt;=5,J43&lt;&gt;"",J43&gt;=7),"tester_A_et_B",AND(I43&lt;&gt;"",I43&gt;=5),"tester_A",AND(J43&lt;&gt;"",J43&gt;=7),"tester_B",TRUE,""))</f>
        <v/>
      </c>
      <c r="N43" s="15">
        <f>IF($A43="","",TEXTJOIN(" · ",TRUE,IF(L43="due","Deload cette semaine (−30% vol, RPE≤6, pas de max)",""),IF(L43="en_cours","Deload en cours — garder le leger",""),IF(L43="volume_+10%","Volume +10% vs S-1 — alleger S+1",""),IF(L43="rpe_2sem","RPE eleve 2 sem — alleger maintenant",""),IF(L43="trop_casse","Trop de seances cassees — recup cette semaine",""),IF(L43="affutage","Affutage : plus de max, allure de course",""),IF(M43="tester_A","Retest A (T50+T100) apres une seance facile",""),IF(M43="tester_B","Retest B (T200+T400) a frais",""),IF(M43="tester_A_et_B","Retest A cette sem, B la suivante",""),IF(M43="attendre_fin_deload","Retest apres le deload, pas pendant",""),IF(M43="pas_maintenant","Pas de test a fond",""),IF(AND(L43="",M43=""),"Charge OK — semaine normale","")))</f>
        <v/>
      </c>
      <c r="O43" s="13">
        <f>IF($A43="","",SUMIFS(tblSeances[volume_m],tblSeances[id_nageur],$A43,tblSeances[lundi],$B43-7,tblSeances[faite],"oui"))</f>
        <v/>
      </c>
      <c r="P43" s="16">
        <f>IF($A43="","",IFERROR(AVERAGEIFS(tblSeances[rpe],tblSeances[id_nageur],$A43,tblSeances[lundi],$B43-7,tblSeances[faite],"oui"),""))</f>
        <v/>
      </c>
      <c r="Q43" s="13">
        <f>IF($A43="","",COUNTIFS(tblSeances[id_nageur],$A43,tblSeances[lundi],$B43,tblSeances[qualite],"casse"))</f>
        <v/>
      </c>
      <c r="R43" s="13">
        <f>IF($A43="","",IFERROR(INDEX(tblNageurs[seances_sem],MATCH($A43,tblNageurs[id],0)),3))</f>
        <v/>
      </c>
    </row>
    <row r="44" ht="28" customHeight="1">
      <c r="A44" s="34" t="n"/>
      <c r="B44" s="35" t="n"/>
      <c r="C44" s="20">
        <f>IF($A44="","",COUNTIFS(tblSeances[id_nageur],$A44,tblSeances[lundi],$B44,tblSeances[faite],"oui"))</f>
        <v/>
      </c>
      <c r="D44" s="20">
        <f>IF($A44="","",SUMIFS(tblSeances[volume_m],tblSeances[id_nageur],$A44,tblSeances[lundi],$B44,tblSeances[faite],"oui"))</f>
        <v/>
      </c>
      <c r="E44" s="23">
        <f>IF($A44="","",IFERROR(AVERAGEIFS(tblSeances[rpe],tblSeances[id_nageur],$A44,tblSeances[lundi],$B44,tblSeances[faite],"oui"),""))</f>
        <v/>
      </c>
      <c r="F44" s="24">
        <f>IF(OR($A44="",O44="",O44=0),"", (D44-O44)/O44)</f>
        <v/>
      </c>
      <c r="G44" s="20">
        <f>IF($A44="","",IFERROR(INDEX(FILTER(tblSeances[type_semaine],(tblSeances[id_nageur]=$A44)*(tblSeances[lundi]=$B44)*(tblSeances[type_semaine]&lt;&gt;"")),1),IF(AND(O44&gt;0,D44&lt;=0.7*O44),"allegee","normale")))</f>
        <v/>
      </c>
      <c r="H44" s="23">
        <f>IF($A44="","",IFERROR(LET(d,MAXIFS(tblSeances[lundi],tblSeances[id_nageur],$A44,tblSeances[type_semaine],"allegee"),IF(d=0,"",($B44-d)/7)),""))</f>
        <v/>
      </c>
      <c r="I44" s="23">
        <f>IF($A44="","",IFERROR(LET(d,MAXIFS(tblTests[date],tblTests[id_nageur],$A44,tblTests[protocole],"T100",tblTests[valide],"oui"),IF(d=0,"",($B44-d)/7)),""))</f>
        <v/>
      </c>
      <c r="J44" s="23">
        <f>IF($A44="","",IFERROR(LET(d,MAXIFS(tblTests[date],tblTests[id_nageur],$A44,tblTests[protocole],"T400",tblTests[valide],"oui"),IF(d=0,"",($B44-d)/7)),""))</f>
        <v/>
      </c>
      <c r="K44" s="23">
        <f>IF($A44="","",IFERROR((XLOOKUP($A44,tblObjectifs[cle_dashboard],tblObjectifs[date_objectif])-$B44)/7,""))</f>
        <v/>
      </c>
      <c r="L44" s="20">
        <f>IF($A44="","",IFS(C44&lt;=1,"",AND(K44&lt;&gt;"",K44&lt;=3),"affutage",G44="allegee","en_cours",AND(H44&lt;&gt;"",H44&gt;=IF(R44&lt;=2,5,3),C44&gt;=IF(R44&lt;=2,2,3)),"due",AND(F44&lt;&gt;"",F44&gt;0.1),"volume_+10%",AND(E44&lt;&gt;"",E44&gt;=8,P44&lt;&gt;"",P44&gt;=8),"rpe_2sem",Q44&gt;=2,"trop_casse",TRUE,""))</f>
        <v/>
      </c>
      <c r="M44" s="20">
        <f>IF($A44="","",IFS(AND(K44&lt;&gt;"",K44&lt;=3),"pas_maintenant",G44="allegee","attendre_fin_deload",AND(E44&lt;&gt;"",E44&gt;=8),"pas_maintenant",AND(I44&lt;&gt;"",I44&gt;=5,J44&lt;&gt;"",J44&gt;=7),"tester_A_et_B",AND(I44&lt;&gt;"",I44&gt;=5),"tester_A",AND(J44&lt;&gt;"",J44&gt;=7),"tester_B",TRUE,""))</f>
        <v/>
      </c>
      <c r="N44" s="22">
        <f>IF($A44="","",TEXTJOIN(" · ",TRUE,IF(L44="due","Deload cette semaine (−30% vol, RPE≤6, pas de max)",""),IF(L44="en_cours","Deload en cours — garder le leger",""),IF(L44="volume_+10%","Volume +10% vs S-1 — alleger S+1",""),IF(L44="rpe_2sem","RPE eleve 2 sem — alleger maintenant",""),IF(L44="trop_casse","Trop de seances cassees — recup cette semaine",""),IF(L44="affutage","Affutage : plus de max, allure de course",""),IF(M44="tester_A","Retest A (T50+T100) apres une seance facile",""),IF(M44="tester_B","Retest B (T200+T400) a frais",""),IF(M44="tester_A_et_B","Retest A cette sem, B la suivante",""),IF(M44="attendre_fin_deload","Retest apres le deload, pas pendant",""),IF(M44="pas_maintenant","Pas de test a fond",""),IF(AND(L44="",M44=""),"Charge OK — semaine normale","")))</f>
        <v/>
      </c>
      <c r="O44" s="20">
        <f>IF($A44="","",SUMIFS(tblSeances[volume_m],tblSeances[id_nageur],$A44,tblSeances[lundi],$B44-7,tblSeances[faite],"oui"))</f>
        <v/>
      </c>
      <c r="P44" s="23">
        <f>IF($A44="","",IFERROR(AVERAGEIFS(tblSeances[rpe],tblSeances[id_nageur],$A44,tblSeances[lundi],$B44-7,tblSeances[faite],"oui"),""))</f>
        <v/>
      </c>
      <c r="Q44" s="20">
        <f>IF($A44="","",COUNTIFS(tblSeances[id_nageur],$A44,tblSeances[lundi],$B44,tblSeances[qualite],"casse"))</f>
        <v/>
      </c>
      <c r="R44" s="20">
        <f>IF($A44="","",IFERROR(INDEX(tblNageurs[seances_sem],MATCH($A44,tblNageurs[id],0)),3))</f>
        <v/>
      </c>
    </row>
    <row r="45" ht="28" customHeight="1">
      <c r="A45" s="34" t="n"/>
      <c r="B45" s="35" t="n"/>
      <c r="C45" s="13">
        <f>IF($A45="","",COUNTIFS(tblSeances[id_nageur],$A45,tblSeances[lundi],$B45,tblSeances[faite],"oui"))</f>
        <v/>
      </c>
      <c r="D45" s="13">
        <f>IF($A45="","",SUMIFS(tblSeances[volume_m],tblSeances[id_nageur],$A45,tblSeances[lundi],$B45,tblSeances[faite],"oui"))</f>
        <v/>
      </c>
      <c r="E45" s="16">
        <f>IF($A45="","",IFERROR(AVERAGEIFS(tblSeances[rpe],tblSeances[id_nageur],$A45,tblSeances[lundi],$B45,tblSeances[faite],"oui"),""))</f>
        <v/>
      </c>
      <c r="F45" s="17">
        <f>IF(OR($A45="",O45="",O45=0),"", (D45-O45)/O45)</f>
        <v/>
      </c>
      <c r="G45" s="13">
        <f>IF($A45="","",IFERROR(INDEX(FILTER(tblSeances[type_semaine],(tblSeances[id_nageur]=$A45)*(tblSeances[lundi]=$B45)*(tblSeances[type_semaine]&lt;&gt;"")),1),IF(AND(O45&gt;0,D45&lt;=0.7*O45),"allegee","normale")))</f>
        <v/>
      </c>
      <c r="H45" s="16">
        <f>IF($A45="","",IFERROR(LET(d,MAXIFS(tblSeances[lundi],tblSeances[id_nageur],$A45,tblSeances[type_semaine],"allegee"),IF(d=0,"",($B45-d)/7)),""))</f>
        <v/>
      </c>
      <c r="I45" s="16">
        <f>IF($A45="","",IFERROR(LET(d,MAXIFS(tblTests[date],tblTests[id_nageur],$A45,tblTests[protocole],"T100",tblTests[valide],"oui"),IF(d=0,"",($B45-d)/7)),""))</f>
        <v/>
      </c>
      <c r="J45" s="16">
        <f>IF($A45="","",IFERROR(LET(d,MAXIFS(tblTests[date],tblTests[id_nageur],$A45,tblTests[protocole],"T400",tblTests[valide],"oui"),IF(d=0,"",($B45-d)/7)),""))</f>
        <v/>
      </c>
      <c r="K45" s="16">
        <f>IF($A45="","",IFERROR((XLOOKUP($A45,tblObjectifs[cle_dashboard],tblObjectifs[date_objectif])-$B45)/7,""))</f>
        <v/>
      </c>
      <c r="L45" s="13">
        <f>IF($A45="","",IFS(C45&lt;=1,"",AND(K45&lt;&gt;"",K45&lt;=3),"affutage",G45="allegee","en_cours",AND(H45&lt;&gt;"",H45&gt;=IF(R45&lt;=2,5,3),C45&gt;=IF(R45&lt;=2,2,3)),"due",AND(F45&lt;&gt;"",F45&gt;0.1),"volume_+10%",AND(E45&lt;&gt;"",E45&gt;=8,P45&lt;&gt;"",P45&gt;=8),"rpe_2sem",Q45&gt;=2,"trop_casse",TRUE,""))</f>
        <v/>
      </c>
      <c r="M45" s="13">
        <f>IF($A45="","",IFS(AND(K45&lt;&gt;"",K45&lt;=3),"pas_maintenant",G45="allegee","attendre_fin_deload",AND(E45&lt;&gt;"",E45&gt;=8),"pas_maintenant",AND(I45&lt;&gt;"",I45&gt;=5,J45&lt;&gt;"",J45&gt;=7),"tester_A_et_B",AND(I45&lt;&gt;"",I45&gt;=5),"tester_A",AND(J45&lt;&gt;"",J45&gt;=7),"tester_B",TRUE,""))</f>
        <v/>
      </c>
      <c r="N45" s="15">
        <f>IF($A45="","",TEXTJOIN(" · ",TRUE,IF(L45="due","Deload cette semaine (−30% vol, RPE≤6, pas de max)",""),IF(L45="en_cours","Deload en cours — garder le leger",""),IF(L45="volume_+10%","Volume +10% vs S-1 — alleger S+1",""),IF(L45="rpe_2sem","RPE eleve 2 sem — alleger maintenant",""),IF(L45="trop_casse","Trop de seances cassees — recup cette semaine",""),IF(L45="affutage","Affutage : plus de max, allure de course",""),IF(M45="tester_A","Retest A (T50+T100) apres une seance facile",""),IF(M45="tester_B","Retest B (T200+T400) a frais",""),IF(M45="tester_A_et_B","Retest A cette sem, B la suivante",""),IF(M45="attendre_fin_deload","Retest apres le deload, pas pendant",""),IF(M45="pas_maintenant","Pas de test a fond",""),IF(AND(L45="",M45=""),"Charge OK — semaine normale","")))</f>
        <v/>
      </c>
      <c r="O45" s="13">
        <f>IF($A45="","",SUMIFS(tblSeances[volume_m],tblSeances[id_nageur],$A45,tblSeances[lundi],$B45-7,tblSeances[faite],"oui"))</f>
        <v/>
      </c>
      <c r="P45" s="16">
        <f>IF($A45="","",IFERROR(AVERAGEIFS(tblSeances[rpe],tblSeances[id_nageur],$A45,tblSeances[lundi],$B45-7,tblSeances[faite],"oui"),""))</f>
        <v/>
      </c>
      <c r="Q45" s="13">
        <f>IF($A45="","",COUNTIFS(tblSeances[id_nageur],$A45,tblSeances[lundi],$B45,tblSeances[qualite],"casse"))</f>
        <v/>
      </c>
      <c r="R45" s="13">
        <f>IF($A45="","",IFERROR(INDEX(tblNageurs[seances_sem],MATCH($A45,tblNageurs[id],0)),3))</f>
        <v/>
      </c>
    </row>
    <row r="46" ht="28" customHeight="1">
      <c r="A46" s="34" t="n"/>
      <c r="B46" s="35" t="n"/>
      <c r="C46" s="20">
        <f>IF($A46="","",COUNTIFS(tblSeances[id_nageur],$A46,tblSeances[lundi],$B46,tblSeances[faite],"oui"))</f>
        <v/>
      </c>
      <c r="D46" s="20">
        <f>IF($A46="","",SUMIFS(tblSeances[volume_m],tblSeances[id_nageur],$A46,tblSeances[lundi],$B46,tblSeances[faite],"oui"))</f>
        <v/>
      </c>
      <c r="E46" s="23">
        <f>IF($A46="","",IFERROR(AVERAGEIFS(tblSeances[rpe],tblSeances[id_nageur],$A46,tblSeances[lundi],$B46,tblSeances[faite],"oui"),""))</f>
        <v/>
      </c>
      <c r="F46" s="24">
        <f>IF(OR($A46="",O46="",O46=0),"", (D46-O46)/O46)</f>
        <v/>
      </c>
      <c r="G46" s="20">
        <f>IF($A46="","",IFERROR(INDEX(FILTER(tblSeances[type_semaine],(tblSeances[id_nageur]=$A46)*(tblSeances[lundi]=$B46)*(tblSeances[type_semaine]&lt;&gt;"")),1),IF(AND(O46&gt;0,D46&lt;=0.7*O46),"allegee","normale")))</f>
        <v/>
      </c>
      <c r="H46" s="23">
        <f>IF($A46="","",IFERROR(LET(d,MAXIFS(tblSeances[lundi],tblSeances[id_nageur],$A46,tblSeances[type_semaine],"allegee"),IF(d=0,"",($B46-d)/7)),""))</f>
        <v/>
      </c>
      <c r="I46" s="23">
        <f>IF($A46="","",IFERROR(LET(d,MAXIFS(tblTests[date],tblTests[id_nageur],$A46,tblTests[protocole],"T100",tblTests[valide],"oui"),IF(d=0,"",($B46-d)/7)),""))</f>
        <v/>
      </c>
      <c r="J46" s="23">
        <f>IF($A46="","",IFERROR(LET(d,MAXIFS(tblTests[date],tblTests[id_nageur],$A46,tblTests[protocole],"T400",tblTests[valide],"oui"),IF(d=0,"",($B46-d)/7)),""))</f>
        <v/>
      </c>
      <c r="K46" s="23">
        <f>IF($A46="","",IFERROR((XLOOKUP($A46,tblObjectifs[cle_dashboard],tblObjectifs[date_objectif])-$B46)/7,""))</f>
        <v/>
      </c>
      <c r="L46" s="20">
        <f>IF($A46="","",IFS(C46&lt;=1,"",AND(K46&lt;&gt;"",K46&lt;=3),"affutage",G46="allegee","en_cours",AND(H46&lt;&gt;"",H46&gt;=IF(R46&lt;=2,5,3),C46&gt;=IF(R46&lt;=2,2,3)),"due",AND(F46&lt;&gt;"",F46&gt;0.1),"volume_+10%",AND(E46&lt;&gt;"",E46&gt;=8,P46&lt;&gt;"",P46&gt;=8),"rpe_2sem",Q46&gt;=2,"trop_casse",TRUE,""))</f>
        <v/>
      </c>
      <c r="M46" s="20">
        <f>IF($A46="","",IFS(AND(K46&lt;&gt;"",K46&lt;=3),"pas_maintenant",G46="allegee","attendre_fin_deload",AND(E46&lt;&gt;"",E46&gt;=8),"pas_maintenant",AND(I46&lt;&gt;"",I46&gt;=5,J46&lt;&gt;"",J46&gt;=7),"tester_A_et_B",AND(I46&lt;&gt;"",I46&gt;=5),"tester_A",AND(J46&lt;&gt;"",J46&gt;=7),"tester_B",TRUE,""))</f>
        <v/>
      </c>
      <c r="N46" s="22">
        <f>IF($A46="","",TEXTJOIN(" · ",TRUE,IF(L46="due","Deload cette semaine (−30% vol, RPE≤6, pas de max)",""),IF(L46="en_cours","Deload en cours — garder le leger",""),IF(L46="volume_+10%","Volume +10% vs S-1 — alleger S+1",""),IF(L46="rpe_2sem","RPE eleve 2 sem — alleger maintenant",""),IF(L46="trop_casse","Trop de seances cassees — recup cette semaine",""),IF(L46="affutage","Affutage : plus de max, allure de course",""),IF(M46="tester_A","Retest A (T50+T100) apres une seance facile",""),IF(M46="tester_B","Retest B (T200+T400) a frais",""),IF(M46="tester_A_et_B","Retest A cette sem, B la suivante",""),IF(M46="attendre_fin_deload","Retest apres le deload, pas pendant",""),IF(M46="pas_maintenant","Pas de test a fond",""),IF(AND(L46="",M46=""),"Charge OK — semaine normale","")))</f>
        <v/>
      </c>
      <c r="O46" s="20">
        <f>IF($A46="","",SUMIFS(tblSeances[volume_m],tblSeances[id_nageur],$A46,tblSeances[lundi],$B46-7,tblSeances[faite],"oui"))</f>
        <v/>
      </c>
      <c r="P46" s="23">
        <f>IF($A46="","",IFERROR(AVERAGEIFS(tblSeances[rpe],tblSeances[id_nageur],$A46,tblSeances[lundi],$B46-7,tblSeances[faite],"oui"),""))</f>
        <v/>
      </c>
      <c r="Q46" s="20">
        <f>IF($A46="","",COUNTIFS(tblSeances[id_nageur],$A46,tblSeances[lundi],$B46,tblSeances[qualite],"casse"))</f>
        <v/>
      </c>
      <c r="R46" s="20">
        <f>IF($A46="","",IFERROR(INDEX(tblNageurs[seances_sem],MATCH($A46,tblNageurs[id],0)),3))</f>
        <v/>
      </c>
    </row>
    <row r="47" ht="28" customHeight="1">
      <c r="A47" s="34" t="n"/>
      <c r="B47" s="35" t="n"/>
      <c r="C47" s="13">
        <f>IF($A47="","",COUNTIFS(tblSeances[id_nageur],$A47,tblSeances[lundi],$B47,tblSeances[faite],"oui"))</f>
        <v/>
      </c>
      <c r="D47" s="13">
        <f>IF($A47="","",SUMIFS(tblSeances[volume_m],tblSeances[id_nageur],$A47,tblSeances[lundi],$B47,tblSeances[faite],"oui"))</f>
        <v/>
      </c>
      <c r="E47" s="16">
        <f>IF($A47="","",IFERROR(AVERAGEIFS(tblSeances[rpe],tblSeances[id_nageur],$A47,tblSeances[lundi],$B47,tblSeances[faite],"oui"),""))</f>
        <v/>
      </c>
      <c r="F47" s="17">
        <f>IF(OR($A47="",O47="",O47=0),"", (D47-O47)/O47)</f>
        <v/>
      </c>
      <c r="G47" s="13">
        <f>IF($A47="","",IFERROR(INDEX(FILTER(tblSeances[type_semaine],(tblSeances[id_nageur]=$A47)*(tblSeances[lundi]=$B47)*(tblSeances[type_semaine]&lt;&gt;"")),1),IF(AND(O47&gt;0,D47&lt;=0.7*O47),"allegee","normale")))</f>
        <v/>
      </c>
      <c r="H47" s="16">
        <f>IF($A47="","",IFERROR(LET(d,MAXIFS(tblSeances[lundi],tblSeances[id_nageur],$A47,tblSeances[type_semaine],"allegee"),IF(d=0,"",($B47-d)/7)),""))</f>
        <v/>
      </c>
      <c r="I47" s="16">
        <f>IF($A47="","",IFERROR(LET(d,MAXIFS(tblTests[date],tblTests[id_nageur],$A47,tblTests[protocole],"T100",tblTests[valide],"oui"),IF(d=0,"",($B47-d)/7)),""))</f>
        <v/>
      </c>
      <c r="J47" s="16">
        <f>IF($A47="","",IFERROR(LET(d,MAXIFS(tblTests[date],tblTests[id_nageur],$A47,tblTests[protocole],"T400",tblTests[valide],"oui"),IF(d=0,"",($B47-d)/7)),""))</f>
        <v/>
      </c>
      <c r="K47" s="16">
        <f>IF($A47="","",IFERROR((XLOOKUP($A47,tblObjectifs[cle_dashboard],tblObjectifs[date_objectif])-$B47)/7,""))</f>
        <v/>
      </c>
      <c r="L47" s="13">
        <f>IF($A47="","",IFS(C47&lt;=1,"",AND(K47&lt;&gt;"",K47&lt;=3),"affutage",G47="allegee","en_cours",AND(H47&lt;&gt;"",H47&gt;=IF(R47&lt;=2,5,3),C47&gt;=IF(R47&lt;=2,2,3)),"due",AND(F47&lt;&gt;"",F47&gt;0.1),"volume_+10%",AND(E47&lt;&gt;"",E47&gt;=8,P47&lt;&gt;"",P47&gt;=8),"rpe_2sem",Q47&gt;=2,"trop_casse",TRUE,""))</f>
        <v/>
      </c>
      <c r="M47" s="13">
        <f>IF($A47="","",IFS(AND(K47&lt;&gt;"",K47&lt;=3),"pas_maintenant",G47="allegee","attendre_fin_deload",AND(E47&lt;&gt;"",E47&gt;=8),"pas_maintenant",AND(I47&lt;&gt;"",I47&gt;=5,J47&lt;&gt;"",J47&gt;=7),"tester_A_et_B",AND(I47&lt;&gt;"",I47&gt;=5),"tester_A",AND(J47&lt;&gt;"",J47&gt;=7),"tester_B",TRUE,""))</f>
        <v/>
      </c>
      <c r="N47" s="15">
        <f>IF($A47="","",TEXTJOIN(" · ",TRUE,IF(L47="due","Deload cette semaine (−30% vol, RPE≤6, pas de max)",""),IF(L47="en_cours","Deload en cours — garder le leger",""),IF(L47="volume_+10%","Volume +10% vs S-1 — alleger S+1",""),IF(L47="rpe_2sem","RPE eleve 2 sem — alleger maintenant",""),IF(L47="trop_casse","Trop de seances cassees — recup cette semaine",""),IF(L47="affutage","Affutage : plus de max, allure de course",""),IF(M47="tester_A","Retest A (T50+T100) apres une seance facile",""),IF(M47="tester_B","Retest B (T200+T400) a frais",""),IF(M47="tester_A_et_B","Retest A cette sem, B la suivante",""),IF(M47="attendre_fin_deload","Retest apres le deload, pas pendant",""),IF(M47="pas_maintenant","Pas de test a fond",""),IF(AND(L47="",M47=""),"Charge OK — semaine normale","")))</f>
        <v/>
      </c>
      <c r="O47" s="13">
        <f>IF($A47="","",SUMIFS(tblSeances[volume_m],tblSeances[id_nageur],$A47,tblSeances[lundi],$B47-7,tblSeances[faite],"oui"))</f>
        <v/>
      </c>
      <c r="P47" s="16">
        <f>IF($A47="","",IFERROR(AVERAGEIFS(tblSeances[rpe],tblSeances[id_nageur],$A47,tblSeances[lundi],$B47-7,tblSeances[faite],"oui"),""))</f>
        <v/>
      </c>
      <c r="Q47" s="13">
        <f>IF($A47="","",COUNTIFS(tblSeances[id_nageur],$A47,tblSeances[lundi],$B47,tblSeances[qualite],"casse"))</f>
        <v/>
      </c>
      <c r="R47" s="13">
        <f>IF($A47="","",IFERROR(INDEX(tblNageurs[seances_sem],MATCH($A47,tblNageurs[id],0)),3))</f>
        <v/>
      </c>
    </row>
    <row r="48" ht="28" customHeight="1">
      <c r="A48" s="34" t="n"/>
      <c r="B48" s="35" t="n"/>
      <c r="C48" s="20">
        <f>IF($A48="","",COUNTIFS(tblSeances[id_nageur],$A48,tblSeances[lundi],$B48,tblSeances[faite],"oui"))</f>
        <v/>
      </c>
      <c r="D48" s="20">
        <f>IF($A48="","",SUMIFS(tblSeances[volume_m],tblSeances[id_nageur],$A48,tblSeances[lundi],$B48,tblSeances[faite],"oui"))</f>
        <v/>
      </c>
      <c r="E48" s="23">
        <f>IF($A48="","",IFERROR(AVERAGEIFS(tblSeances[rpe],tblSeances[id_nageur],$A48,tblSeances[lundi],$B48,tblSeances[faite],"oui"),""))</f>
        <v/>
      </c>
      <c r="F48" s="24">
        <f>IF(OR($A48="",O48="",O48=0),"", (D48-O48)/O48)</f>
        <v/>
      </c>
      <c r="G48" s="20">
        <f>IF($A48="","",IFERROR(INDEX(FILTER(tblSeances[type_semaine],(tblSeances[id_nageur]=$A48)*(tblSeances[lundi]=$B48)*(tblSeances[type_semaine]&lt;&gt;"")),1),IF(AND(O48&gt;0,D48&lt;=0.7*O48),"allegee","normale")))</f>
        <v/>
      </c>
      <c r="H48" s="23">
        <f>IF($A48="","",IFERROR(LET(d,MAXIFS(tblSeances[lundi],tblSeances[id_nageur],$A48,tblSeances[type_semaine],"allegee"),IF(d=0,"",($B48-d)/7)),""))</f>
        <v/>
      </c>
      <c r="I48" s="23">
        <f>IF($A48="","",IFERROR(LET(d,MAXIFS(tblTests[date],tblTests[id_nageur],$A48,tblTests[protocole],"T100",tblTests[valide],"oui"),IF(d=0,"",($B48-d)/7)),""))</f>
        <v/>
      </c>
      <c r="J48" s="23">
        <f>IF($A48="","",IFERROR(LET(d,MAXIFS(tblTests[date],tblTests[id_nageur],$A48,tblTests[protocole],"T400",tblTests[valide],"oui"),IF(d=0,"",($B48-d)/7)),""))</f>
        <v/>
      </c>
      <c r="K48" s="23">
        <f>IF($A48="","",IFERROR((XLOOKUP($A48,tblObjectifs[cle_dashboard],tblObjectifs[date_objectif])-$B48)/7,""))</f>
        <v/>
      </c>
      <c r="L48" s="20">
        <f>IF($A48="","",IFS(C48&lt;=1,"",AND(K48&lt;&gt;"",K48&lt;=3),"affutage",G48="allegee","en_cours",AND(H48&lt;&gt;"",H48&gt;=IF(R48&lt;=2,5,3),C48&gt;=IF(R48&lt;=2,2,3)),"due",AND(F48&lt;&gt;"",F48&gt;0.1),"volume_+10%",AND(E48&lt;&gt;"",E48&gt;=8,P48&lt;&gt;"",P48&gt;=8),"rpe_2sem",Q48&gt;=2,"trop_casse",TRUE,""))</f>
        <v/>
      </c>
      <c r="M48" s="20">
        <f>IF($A48="","",IFS(AND(K48&lt;&gt;"",K48&lt;=3),"pas_maintenant",G48="allegee","attendre_fin_deload",AND(E48&lt;&gt;"",E48&gt;=8),"pas_maintenant",AND(I48&lt;&gt;"",I48&gt;=5,J48&lt;&gt;"",J48&gt;=7),"tester_A_et_B",AND(I48&lt;&gt;"",I48&gt;=5),"tester_A",AND(J48&lt;&gt;"",J48&gt;=7),"tester_B",TRUE,""))</f>
        <v/>
      </c>
      <c r="N48" s="22">
        <f>IF($A48="","",TEXTJOIN(" · ",TRUE,IF(L48="due","Deload cette semaine (−30% vol, RPE≤6, pas de max)",""),IF(L48="en_cours","Deload en cours — garder le leger",""),IF(L48="volume_+10%","Volume +10% vs S-1 — alleger S+1",""),IF(L48="rpe_2sem","RPE eleve 2 sem — alleger maintenant",""),IF(L48="trop_casse","Trop de seances cassees — recup cette semaine",""),IF(L48="affutage","Affutage : plus de max, allure de course",""),IF(M48="tester_A","Retest A (T50+T100) apres une seance facile",""),IF(M48="tester_B","Retest B (T200+T400) a frais",""),IF(M48="tester_A_et_B","Retest A cette sem, B la suivante",""),IF(M48="attendre_fin_deload","Retest apres le deload, pas pendant",""),IF(M48="pas_maintenant","Pas de test a fond",""),IF(AND(L48="",M48=""),"Charge OK — semaine normale","")))</f>
        <v/>
      </c>
      <c r="O48" s="20">
        <f>IF($A48="","",SUMIFS(tblSeances[volume_m],tblSeances[id_nageur],$A48,tblSeances[lundi],$B48-7,tblSeances[faite],"oui"))</f>
        <v/>
      </c>
      <c r="P48" s="23">
        <f>IF($A48="","",IFERROR(AVERAGEIFS(tblSeances[rpe],tblSeances[id_nageur],$A48,tblSeances[lundi],$B48-7,tblSeances[faite],"oui"),""))</f>
        <v/>
      </c>
      <c r="Q48" s="20">
        <f>IF($A48="","",COUNTIFS(tblSeances[id_nageur],$A48,tblSeances[lundi],$B48,tblSeances[qualite],"casse"))</f>
        <v/>
      </c>
      <c r="R48" s="20">
        <f>IF($A48="","",IFERROR(INDEX(tblNageurs[seances_sem],MATCH($A48,tblNageurs[id],0)),3))</f>
        <v/>
      </c>
    </row>
    <row r="49" ht="28" customHeight="1">
      <c r="A49" s="34" t="n"/>
      <c r="B49" s="35" t="n"/>
      <c r="C49" s="13">
        <f>IF($A49="","",COUNTIFS(tblSeances[id_nageur],$A49,tblSeances[lundi],$B49,tblSeances[faite],"oui"))</f>
        <v/>
      </c>
      <c r="D49" s="13">
        <f>IF($A49="","",SUMIFS(tblSeances[volume_m],tblSeances[id_nageur],$A49,tblSeances[lundi],$B49,tblSeances[faite],"oui"))</f>
        <v/>
      </c>
      <c r="E49" s="16">
        <f>IF($A49="","",IFERROR(AVERAGEIFS(tblSeances[rpe],tblSeances[id_nageur],$A49,tblSeances[lundi],$B49,tblSeances[faite],"oui"),""))</f>
        <v/>
      </c>
      <c r="F49" s="17">
        <f>IF(OR($A49="",O49="",O49=0),"", (D49-O49)/O49)</f>
        <v/>
      </c>
      <c r="G49" s="13">
        <f>IF($A49="","",IFERROR(INDEX(FILTER(tblSeances[type_semaine],(tblSeances[id_nageur]=$A49)*(tblSeances[lundi]=$B49)*(tblSeances[type_semaine]&lt;&gt;"")),1),IF(AND(O49&gt;0,D49&lt;=0.7*O49),"allegee","normale")))</f>
        <v/>
      </c>
      <c r="H49" s="16">
        <f>IF($A49="","",IFERROR(LET(d,MAXIFS(tblSeances[lundi],tblSeances[id_nageur],$A49,tblSeances[type_semaine],"allegee"),IF(d=0,"",($B49-d)/7)),""))</f>
        <v/>
      </c>
      <c r="I49" s="16">
        <f>IF($A49="","",IFERROR(LET(d,MAXIFS(tblTests[date],tblTests[id_nageur],$A49,tblTests[protocole],"T100",tblTests[valide],"oui"),IF(d=0,"",($B49-d)/7)),""))</f>
        <v/>
      </c>
      <c r="J49" s="16">
        <f>IF($A49="","",IFERROR(LET(d,MAXIFS(tblTests[date],tblTests[id_nageur],$A49,tblTests[protocole],"T400",tblTests[valide],"oui"),IF(d=0,"",($B49-d)/7)),""))</f>
        <v/>
      </c>
      <c r="K49" s="16">
        <f>IF($A49="","",IFERROR((XLOOKUP($A49,tblObjectifs[cle_dashboard],tblObjectifs[date_objectif])-$B49)/7,""))</f>
        <v/>
      </c>
      <c r="L49" s="13">
        <f>IF($A49="","",IFS(C49&lt;=1,"",AND(K49&lt;&gt;"",K49&lt;=3),"affutage",G49="allegee","en_cours",AND(H49&lt;&gt;"",H49&gt;=IF(R49&lt;=2,5,3),C49&gt;=IF(R49&lt;=2,2,3)),"due",AND(F49&lt;&gt;"",F49&gt;0.1),"volume_+10%",AND(E49&lt;&gt;"",E49&gt;=8,P49&lt;&gt;"",P49&gt;=8),"rpe_2sem",Q49&gt;=2,"trop_casse",TRUE,""))</f>
        <v/>
      </c>
      <c r="M49" s="13">
        <f>IF($A49="","",IFS(AND(K49&lt;&gt;"",K49&lt;=3),"pas_maintenant",G49="allegee","attendre_fin_deload",AND(E49&lt;&gt;"",E49&gt;=8),"pas_maintenant",AND(I49&lt;&gt;"",I49&gt;=5,J49&lt;&gt;"",J49&gt;=7),"tester_A_et_B",AND(I49&lt;&gt;"",I49&gt;=5),"tester_A",AND(J49&lt;&gt;"",J49&gt;=7),"tester_B",TRUE,""))</f>
        <v/>
      </c>
      <c r="N49" s="15">
        <f>IF($A49="","",TEXTJOIN(" · ",TRUE,IF(L49="due","Deload cette semaine (−30% vol, RPE≤6, pas de max)",""),IF(L49="en_cours","Deload en cours — garder le leger",""),IF(L49="volume_+10%","Volume +10% vs S-1 — alleger S+1",""),IF(L49="rpe_2sem","RPE eleve 2 sem — alleger maintenant",""),IF(L49="trop_casse","Trop de seances cassees — recup cette semaine",""),IF(L49="affutage","Affutage : plus de max, allure de course",""),IF(M49="tester_A","Retest A (T50+T100) apres une seance facile",""),IF(M49="tester_B","Retest B (T200+T400) a frais",""),IF(M49="tester_A_et_B","Retest A cette sem, B la suivante",""),IF(M49="attendre_fin_deload","Retest apres le deload, pas pendant",""),IF(M49="pas_maintenant","Pas de test a fond",""),IF(AND(L49="",M49=""),"Charge OK — semaine normale","")))</f>
        <v/>
      </c>
      <c r="O49" s="13">
        <f>IF($A49="","",SUMIFS(tblSeances[volume_m],tblSeances[id_nageur],$A49,tblSeances[lundi],$B49-7,tblSeances[faite],"oui"))</f>
        <v/>
      </c>
      <c r="P49" s="16">
        <f>IF($A49="","",IFERROR(AVERAGEIFS(tblSeances[rpe],tblSeances[id_nageur],$A49,tblSeances[lundi],$B49-7,tblSeances[faite],"oui"),""))</f>
        <v/>
      </c>
      <c r="Q49" s="13">
        <f>IF($A49="","",COUNTIFS(tblSeances[id_nageur],$A49,tblSeances[lundi],$B49,tblSeances[qualite],"casse"))</f>
        <v/>
      </c>
      <c r="R49" s="13">
        <f>IF($A49="","",IFERROR(INDEX(tblNageurs[seances_sem],MATCH($A49,tblNageurs[id],0)),3))</f>
        <v/>
      </c>
    </row>
    <row r="50" ht="28" customHeight="1">
      <c r="A50" s="34" t="n"/>
      <c r="B50" s="35" t="n"/>
      <c r="C50" s="20">
        <f>IF($A50="","",COUNTIFS(tblSeances[id_nageur],$A50,tblSeances[lundi],$B50,tblSeances[faite],"oui"))</f>
        <v/>
      </c>
      <c r="D50" s="20">
        <f>IF($A50="","",SUMIFS(tblSeances[volume_m],tblSeances[id_nageur],$A50,tblSeances[lundi],$B50,tblSeances[faite],"oui"))</f>
        <v/>
      </c>
      <c r="E50" s="23">
        <f>IF($A50="","",IFERROR(AVERAGEIFS(tblSeances[rpe],tblSeances[id_nageur],$A50,tblSeances[lundi],$B50,tblSeances[faite],"oui"),""))</f>
        <v/>
      </c>
      <c r="F50" s="24">
        <f>IF(OR($A50="",O50="",O50=0),"", (D50-O50)/O50)</f>
        <v/>
      </c>
      <c r="G50" s="20">
        <f>IF($A50="","",IFERROR(INDEX(FILTER(tblSeances[type_semaine],(tblSeances[id_nageur]=$A50)*(tblSeances[lundi]=$B50)*(tblSeances[type_semaine]&lt;&gt;"")),1),IF(AND(O50&gt;0,D50&lt;=0.7*O50),"allegee","normale")))</f>
        <v/>
      </c>
      <c r="H50" s="23">
        <f>IF($A50="","",IFERROR(LET(d,MAXIFS(tblSeances[lundi],tblSeances[id_nageur],$A50,tblSeances[type_semaine],"allegee"),IF(d=0,"",($B50-d)/7)),""))</f>
        <v/>
      </c>
      <c r="I50" s="23">
        <f>IF($A50="","",IFERROR(LET(d,MAXIFS(tblTests[date],tblTests[id_nageur],$A50,tblTests[protocole],"T100",tblTests[valide],"oui"),IF(d=0,"",($B50-d)/7)),""))</f>
        <v/>
      </c>
      <c r="J50" s="23">
        <f>IF($A50="","",IFERROR(LET(d,MAXIFS(tblTests[date],tblTests[id_nageur],$A50,tblTests[protocole],"T400",tblTests[valide],"oui"),IF(d=0,"",($B50-d)/7)),""))</f>
        <v/>
      </c>
      <c r="K50" s="23">
        <f>IF($A50="","",IFERROR((XLOOKUP($A50,tblObjectifs[cle_dashboard],tblObjectifs[date_objectif])-$B50)/7,""))</f>
        <v/>
      </c>
      <c r="L50" s="20">
        <f>IF($A50="","",IFS(C50&lt;=1,"",AND(K50&lt;&gt;"",K50&lt;=3),"affutage",G50="allegee","en_cours",AND(H50&lt;&gt;"",H50&gt;=IF(R50&lt;=2,5,3),C50&gt;=IF(R50&lt;=2,2,3)),"due",AND(F50&lt;&gt;"",F50&gt;0.1),"volume_+10%",AND(E50&lt;&gt;"",E50&gt;=8,P50&lt;&gt;"",P50&gt;=8),"rpe_2sem",Q50&gt;=2,"trop_casse",TRUE,""))</f>
        <v/>
      </c>
      <c r="M50" s="20">
        <f>IF($A50="","",IFS(AND(K50&lt;&gt;"",K50&lt;=3),"pas_maintenant",G50="allegee","attendre_fin_deload",AND(E50&lt;&gt;"",E50&gt;=8),"pas_maintenant",AND(I50&lt;&gt;"",I50&gt;=5,J50&lt;&gt;"",J50&gt;=7),"tester_A_et_B",AND(I50&lt;&gt;"",I50&gt;=5),"tester_A",AND(J50&lt;&gt;"",J50&gt;=7),"tester_B",TRUE,""))</f>
        <v/>
      </c>
      <c r="N50" s="22">
        <f>IF($A50="","",TEXTJOIN(" · ",TRUE,IF(L50="due","Deload cette semaine (−30% vol, RPE≤6, pas de max)",""),IF(L50="en_cours","Deload en cours — garder le leger",""),IF(L50="volume_+10%","Volume +10% vs S-1 — alleger S+1",""),IF(L50="rpe_2sem","RPE eleve 2 sem — alleger maintenant",""),IF(L50="trop_casse","Trop de seances cassees — recup cette semaine",""),IF(L50="affutage","Affutage : plus de max, allure de course",""),IF(M50="tester_A","Retest A (T50+T100) apres une seance facile",""),IF(M50="tester_B","Retest B (T200+T400) a frais",""),IF(M50="tester_A_et_B","Retest A cette sem, B la suivante",""),IF(M50="attendre_fin_deload","Retest apres le deload, pas pendant",""),IF(M50="pas_maintenant","Pas de test a fond",""),IF(AND(L50="",M50=""),"Charge OK — semaine normale","")))</f>
        <v/>
      </c>
      <c r="O50" s="20">
        <f>IF($A50="","",SUMIFS(tblSeances[volume_m],tblSeances[id_nageur],$A50,tblSeances[lundi],$B50-7,tblSeances[faite],"oui"))</f>
        <v/>
      </c>
      <c r="P50" s="23">
        <f>IF($A50="","",IFERROR(AVERAGEIFS(tblSeances[rpe],tblSeances[id_nageur],$A50,tblSeances[lundi],$B50-7,tblSeances[faite],"oui"),""))</f>
        <v/>
      </c>
      <c r="Q50" s="20">
        <f>IF($A50="","",COUNTIFS(tblSeances[id_nageur],$A50,tblSeances[lundi],$B50,tblSeances[qualite],"casse"))</f>
        <v/>
      </c>
      <c r="R50" s="20">
        <f>IF($A50="","",IFERROR(INDEX(tblNageurs[seances_sem],MATCH($A50,tblNageurs[id],0)),3))</f>
        <v/>
      </c>
    </row>
    <row r="51" ht="28" customHeight="1">
      <c r="A51" s="34" t="n"/>
      <c r="B51" s="35" t="n"/>
      <c r="C51" s="13">
        <f>IF($A51="","",COUNTIFS(tblSeances[id_nageur],$A51,tblSeances[lundi],$B51,tblSeances[faite],"oui"))</f>
        <v/>
      </c>
      <c r="D51" s="13">
        <f>IF($A51="","",SUMIFS(tblSeances[volume_m],tblSeances[id_nageur],$A51,tblSeances[lundi],$B51,tblSeances[faite],"oui"))</f>
        <v/>
      </c>
      <c r="E51" s="16">
        <f>IF($A51="","",IFERROR(AVERAGEIFS(tblSeances[rpe],tblSeances[id_nageur],$A51,tblSeances[lundi],$B51,tblSeances[faite],"oui"),""))</f>
        <v/>
      </c>
      <c r="F51" s="17">
        <f>IF(OR($A51="",O51="",O51=0),"", (D51-O51)/O51)</f>
        <v/>
      </c>
      <c r="G51" s="13">
        <f>IF($A51="","",IFERROR(INDEX(FILTER(tblSeances[type_semaine],(tblSeances[id_nageur]=$A51)*(tblSeances[lundi]=$B51)*(tblSeances[type_semaine]&lt;&gt;"")),1),IF(AND(O51&gt;0,D51&lt;=0.7*O51),"allegee","normale")))</f>
        <v/>
      </c>
      <c r="H51" s="16">
        <f>IF($A51="","",IFERROR(LET(d,MAXIFS(tblSeances[lundi],tblSeances[id_nageur],$A51,tblSeances[type_semaine],"allegee"),IF(d=0,"",($B51-d)/7)),""))</f>
        <v/>
      </c>
      <c r="I51" s="16">
        <f>IF($A51="","",IFERROR(LET(d,MAXIFS(tblTests[date],tblTests[id_nageur],$A51,tblTests[protocole],"T100",tblTests[valide],"oui"),IF(d=0,"",($B51-d)/7)),""))</f>
        <v/>
      </c>
      <c r="J51" s="16">
        <f>IF($A51="","",IFERROR(LET(d,MAXIFS(tblTests[date],tblTests[id_nageur],$A51,tblTests[protocole],"T400",tblTests[valide],"oui"),IF(d=0,"",($B51-d)/7)),""))</f>
        <v/>
      </c>
      <c r="K51" s="16">
        <f>IF($A51="","",IFERROR((XLOOKUP($A51,tblObjectifs[cle_dashboard],tblObjectifs[date_objectif])-$B51)/7,""))</f>
        <v/>
      </c>
      <c r="L51" s="13">
        <f>IF($A51="","",IFS(C51&lt;=1,"",AND(K51&lt;&gt;"",K51&lt;=3),"affutage",G51="allegee","en_cours",AND(H51&lt;&gt;"",H51&gt;=IF(R51&lt;=2,5,3),C51&gt;=IF(R51&lt;=2,2,3)),"due",AND(F51&lt;&gt;"",F51&gt;0.1),"volume_+10%",AND(E51&lt;&gt;"",E51&gt;=8,P51&lt;&gt;"",P51&gt;=8),"rpe_2sem",Q51&gt;=2,"trop_casse",TRUE,""))</f>
        <v/>
      </c>
      <c r="M51" s="13">
        <f>IF($A51="","",IFS(AND(K51&lt;&gt;"",K51&lt;=3),"pas_maintenant",G51="allegee","attendre_fin_deload",AND(E51&lt;&gt;"",E51&gt;=8),"pas_maintenant",AND(I51&lt;&gt;"",I51&gt;=5,J51&lt;&gt;"",J51&gt;=7),"tester_A_et_B",AND(I51&lt;&gt;"",I51&gt;=5),"tester_A",AND(J51&lt;&gt;"",J51&gt;=7),"tester_B",TRUE,""))</f>
        <v/>
      </c>
      <c r="N51" s="15">
        <f>IF($A51="","",TEXTJOIN(" · ",TRUE,IF(L51="due","Deload cette semaine (−30% vol, RPE≤6, pas de max)",""),IF(L51="en_cours","Deload en cours — garder le leger",""),IF(L51="volume_+10%","Volume +10% vs S-1 — alleger S+1",""),IF(L51="rpe_2sem","RPE eleve 2 sem — alleger maintenant",""),IF(L51="trop_casse","Trop de seances cassees — recup cette semaine",""),IF(L51="affutage","Affutage : plus de max, allure de course",""),IF(M51="tester_A","Retest A (T50+T100) apres une seance facile",""),IF(M51="tester_B","Retest B (T200+T400) a frais",""),IF(M51="tester_A_et_B","Retest A cette sem, B la suivante",""),IF(M51="attendre_fin_deload","Retest apres le deload, pas pendant",""),IF(M51="pas_maintenant","Pas de test a fond",""),IF(AND(L51="",M51=""),"Charge OK — semaine normale","")))</f>
        <v/>
      </c>
      <c r="O51" s="13">
        <f>IF($A51="","",SUMIFS(tblSeances[volume_m],tblSeances[id_nageur],$A51,tblSeances[lundi],$B51-7,tblSeances[faite],"oui"))</f>
        <v/>
      </c>
      <c r="P51" s="16">
        <f>IF($A51="","",IFERROR(AVERAGEIFS(tblSeances[rpe],tblSeances[id_nageur],$A51,tblSeances[lundi],$B51-7,tblSeances[faite],"oui"),""))</f>
        <v/>
      </c>
      <c r="Q51" s="13">
        <f>IF($A51="","",COUNTIFS(tblSeances[id_nageur],$A51,tblSeances[lundi],$B51,tblSeances[qualite],"casse"))</f>
        <v/>
      </c>
      <c r="R51" s="13">
        <f>IF($A51="","",IFERROR(INDEX(tblNageurs[seances_sem],MATCH($A51,tblNageurs[id],0)),3))</f>
        <v/>
      </c>
    </row>
    <row r="52" ht="28" customHeight="1">
      <c r="A52" s="34" t="n"/>
      <c r="B52" s="35" t="n"/>
      <c r="C52" s="20">
        <f>IF($A52="","",COUNTIFS(tblSeances[id_nageur],$A52,tblSeances[lundi],$B52,tblSeances[faite],"oui"))</f>
        <v/>
      </c>
      <c r="D52" s="20">
        <f>IF($A52="","",SUMIFS(tblSeances[volume_m],tblSeances[id_nageur],$A52,tblSeances[lundi],$B52,tblSeances[faite],"oui"))</f>
        <v/>
      </c>
      <c r="E52" s="23">
        <f>IF($A52="","",IFERROR(AVERAGEIFS(tblSeances[rpe],tblSeances[id_nageur],$A52,tblSeances[lundi],$B52,tblSeances[faite],"oui"),""))</f>
        <v/>
      </c>
      <c r="F52" s="24">
        <f>IF(OR($A52="",O52="",O52=0),"", (D52-O52)/O52)</f>
        <v/>
      </c>
      <c r="G52" s="20">
        <f>IF($A52="","",IFERROR(INDEX(FILTER(tblSeances[type_semaine],(tblSeances[id_nageur]=$A52)*(tblSeances[lundi]=$B52)*(tblSeances[type_semaine]&lt;&gt;"")),1),IF(AND(O52&gt;0,D52&lt;=0.7*O52),"allegee","normale")))</f>
        <v/>
      </c>
      <c r="H52" s="23">
        <f>IF($A52="","",IFERROR(LET(d,MAXIFS(tblSeances[lundi],tblSeances[id_nageur],$A52,tblSeances[type_semaine],"allegee"),IF(d=0,"",($B52-d)/7)),""))</f>
        <v/>
      </c>
      <c r="I52" s="23">
        <f>IF($A52="","",IFERROR(LET(d,MAXIFS(tblTests[date],tblTests[id_nageur],$A52,tblTests[protocole],"T100",tblTests[valide],"oui"),IF(d=0,"",($B52-d)/7)),""))</f>
        <v/>
      </c>
      <c r="J52" s="23">
        <f>IF($A52="","",IFERROR(LET(d,MAXIFS(tblTests[date],tblTests[id_nageur],$A52,tblTests[protocole],"T400",tblTests[valide],"oui"),IF(d=0,"",($B52-d)/7)),""))</f>
        <v/>
      </c>
      <c r="K52" s="23">
        <f>IF($A52="","",IFERROR((XLOOKUP($A52,tblObjectifs[cle_dashboard],tblObjectifs[date_objectif])-$B52)/7,""))</f>
        <v/>
      </c>
      <c r="L52" s="20">
        <f>IF($A52="","",IFS(C52&lt;=1,"",AND(K52&lt;&gt;"",K52&lt;=3),"affutage",G52="allegee","en_cours",AND(H52&lt;&gt;"",H52&gt;=IF(R52&lt;=2,5,3),C52&gt;=IF(R52&lt;=2,2,3)),"due",AND(F52&lt;&gt;"",F52&gt;0.1),"volume_+10%",AND(E52&lt;&gt;"",E52&gt;=8,P52&lt;&gt;"",P52&gt;=8),"rpe_2sem",Q52&gt;=2,"trop_casse",TRUE,""))</f>
        <v/>
      </c>
      <c r="M52" s="20">
        <f>IF($A52="","",IFS(AND(K52&lt;&gt;"",K52&lt;=3),"pas_maintenant",G52="allegee","attendre_fin_deload",AND(E52&lt;&gt;"",E52&gt;=8),"pas_maintenant",AND(I52&lt;&gt;"",I52&gt;=5,J52&lt;&gt;"",J52&gt;=7),"tester_A_et_B",AND(I52&lt;&gt;"",I52&gt;=5),"tester_A",AND(J52&lt;&gt;"",J52&gt;=7),"tester_B",TRUE,""))</f>
        <v/>
      </c>
      <c r="N52" s="22">
        <f>IF($A52="","",TEXTJOIN(" · ",TRUE,IF(L52="due","Deload cette semaine (−30% vol, RPE≤6, pas de max)",""),IF(L52="en_cours","Deload en cours — garder le leger",""),IF(L52="volume_+10%","Volume +10% vs S-1 — alleger S+1",""),IF(L52="rpe_2sem","RPE eleve 2 sem — alleger maintenant",""),IF(L52="trop_casse","Trop de seances cassees — recup cette semaine",""),IF(L52="affutage","Affutage : plus de max, allure de course",""),IF(M52="tester_A","Retest A (T50+T100) apres une seance facile",""),IF(M52="tester_B","Retest B (T200+T400) a frais",""),IF(M52="tester_A_et_B","Retest A cette sem, B la suivante",""),IF(M52="attendre_fin_deload","Retest apres le deload, pas pendant",""),IF(M52="pas_maintenant","Pas de test a fond",""),IF(AND(L52="",M52=""),"Charge OK — semaine normale","")))</f>
        <v/>
      </c>
      <c r="O52" s="20">
        <f>IF($A52="","",SUMIFS(tblSeances[volume_m],tblSeances[id_nageur],$A52,tblSeances[lundi],$B52-7,tblSeances[faite],"oui"))</f>
        <v/>
      </c>
      <c r="P52" s="23">
        <f>IF($A52="","",IFERROR(AVERAGEIFS(tblSeances[rpe],tblSeances[id_nageur],$A52,tblSeances[lundi],$B52-7,tblSeances[faite],"oui"),""))</f>
        <v/>
      </c>
      <c r="Q52" s="20">
        <f>IF($A52="","",COUNTIFS(tblSeances[id_nageur],$A52,tblSeances[lundi],$B52,tblSeances[qualite],"casse"))</f>
        <v/>
      </c>
      <c r="R52" s="20">
        <f>IF($A52="","",IFERROR(INDEX(tblNageurs[seances_sem],MATCH($A52,tblNageurs[id],0)),3))</f>
        <v/>
      </c>
    </row>
    <row r="53" ht="28" customHeight="1">
      <c r="A53" s="34" t="n"/>
      <c r="B53" s="35" t="n"/>
      <c r="C53" s="13">
        <f>IF($A53="","",COUNTIFS(tblSeances[id_nageur],$A53,tblSeances[lundi],$B53,tblSeances[faite],"oui"))</f>
        <v/>
      </c>
      <c r="D53" s="13">
        <f>IF($A53="","",SUMIFS(tblSeances[volume_m],tblSeances[id_nageur],$A53,tblSeances[lundi],$B53,tblSeances[faite],"oui"))</f>
        <v/>
      </c>
      <c r="E53" s="16">
        <f>IF($A53="","",IFERROR(AVERAGEIFS(tblSeances[rpe],tblSeances[id_nageur],$A53,tblSeances[lundi],$B53,tblSeances[faite],"oui"),""))</f>
        <v/>
      </c>
      <c r="F53" s="17">
        <f>IF(OR($A53="",O53="",O53=0),"", (D53-O53)/O53)</f>
        <v/>
      </c>
      <c r="G53" s="13">
        <f>IF($A53="","",IFERROR(INDEX(FILTER(tblSeances[type_semaine],(tblSeances[id_nageur]=$A53)*(tblSeances[lundi]=$B53)*(tblSeances[type_semaine]&lt;&gt;"")),1),IF(AND(O53&gt;0,D53&lt;=0.7*O53),"allegee","normale")))</f>
        <v/>
      </c>
      <c r="H53" s="16">
        <f>IF($A53="","",IFERROR(LET(d,MAXIFS(tblSeances[lundi],tblSeances[id_nageur],$A53,tblSeances[type_semaine],"allegee"),IF(d=0,"",($B53-d)/7)),""))</f>
        <v/>
      </c>
      <c r="I53" s="16">
        <f>IF($A53="","",IFERROR(LET(d,MAXIFS(tblTests[date],tblTests[id_nageur],$A53,tblTests[protocole],"T100",tblTests[valide],"oui"),IF(d=0,"",($B53-d)/7)),""))</f>
        <v/>
      </c>
      <c r="J53" s="16">
        <f>IF($A53="","",IFERROR(LET(d,MAXIFS(tblTests[date],tblTests[id_nageur],$A53,tblTests[protocole],"T400",tblTests[valide],"oui"),IF(d=0,"",($B53-d)/7)),""))</f>
        <v/>
      </c>
      <c r="K53" s="16">
        <f>IF($A53="","",IFERROR((XLOOKUP($A53,tblObjectifs[cle_dashboard],tblObjectifs[date_objectif])-$B53)/7,""))</f>
        <v/>
      </c>
      <c r="L53" s="13">
        <f>IF($A53="","",IFS(C53&lt;=1,"",AND(K53&lt;&gt;"",K53&lt;=3),"affutage",G53="allegee","en_cours",AND(H53&lt;&gt;"",H53&gt;=IF(R53&lt;=2,5,3),C53&gt;=IF(R53&lt;=2,2,3)),"due",AND(F53&lt;&gt;"",F53&gt;0.1),"volume_+10%",AND(E53&lt;&gt;"",E53&gt;=8,P53&lt;&gt;"",P53&gt;=8),"rpe_2sem",Q53&gt;=2,"trop_casse",TRUE,""))</f>
        <v/>
      </c>
      <c r="M53" s="13">
        <f>IF($A53="","",IFS(AND(K53&lt;&gt;"",K53&lt;=3),"pas_maintenant",G53="allegee","attendre_fin_deload",AND(E53&lt;&gt;"",E53&gt;=8),"pas_maintenant",AND(I53&lt;&gt;"",I53&gt;=5,J53&lt;&gt;"",J53&gt;=7),"tester_A_et_B",AND(I53&lt;&gt;"",I53&gt;=5),"tester_A",AND(J53&lt;&gt;"",J53&gt;=7),"tester_B",TRUE,""))</f>
        <v/>
      </c>
      <c r="N53" s="15">
        <f>IF($A53="","",TEXTJOIN(" · ",TRUE,IF(L53="due","Deload cette semaine (−30% vol, RPE≤6, pas de max)",""),IF(L53="en_cours","Deload en cours — garder le leger",""),IF(L53="volume_+10%","Volume +10% vs S-1 — alleger S+1",""),IF(L53="rpe_2sem","RPE eleve 2 sem — alleger maintenant",""),IF(L53="trop_casse","Trop de seances cassees — recup cette semaine",""),IF(L53="affutage","Affutage : plus de max, allure de course",""),IF(M53="tester_A","Retest A (T50+T100) apres une seance facile",""),IF(M53="tester_B","Retest B (T200+T400) a frais",""),IF(M53="tester_A_et_B","Retest A cette sem, B la suivante",""),IF(M53="attendre_fin_deload","Retest apres le deload, pas pendant",""),IF(M53="pas_maintenant","Pas de test a fond",""),IF(AND(L53="",M53=""),"Charge OK — semaine normale","")))</f>
        <v/>
      </c>
      <c r="O53" s="13">
        <f>IF($A53="","",SUMIFS(tblSeances[volume_m],tblSeances[id_nageur],$A53,tblSeances[lundi],$B53-7,tblSeances[faite],"oui"))</f>
        <v/>
      </c>
      <c r="P53" s="16">
        <f>IF($A53="","",IFERROR(AVERAGEIFS(tblSeances[rpe],tblSeances[id_nageur],$A53,tblSeances[lundi],$B53-7,tblSeances[faite],"oui"),""))</f>
        <v/>
      </c>
      <c r="Q53" s="13">
        <f>IF($A53="","",COUNTIFS(tblSeances[id_nageur],$A53,tblSeances[lundi],$B53,tblSeances[qualite],"casse"))</f>
        <v/>
      </c>
      <c r="R53" s="13">
        <f>IF($A53="","",IFERROR(INDEX(tblNageurs[seances_sem],MATCH($A53,tblNageurs[id],0)),3))</f>
        <v/>
      </c>
    </row>
    <row r="54" ht="28" customHeight="1">
      <c r="A54" s="34" t="n"/>
      <c r="B54" s="35" t="n"/>
      <c r="C54" s="20">
        <f>IF($A54="","",COUNTIFS(tblSeances[id_nageur],$A54,tblSeances[lundi],$B54,tblSeances[faite],"oui"))</f>
        <v/>
      </c>
      <c r="D54" s="20">
        <f>IF($A54="","",SUMIFS(tblSeances[volume_m],tblSeances[id_nageur],$A54,tblSeances[lundi],$B54,tblSeances[faite],"oui"))</f>
        <v/>
      </c>
      <c r="E54" s="23">
        <f>IF($A54="","",IFERROR(AVERAGEIFS(tblSeances[rpe],tblSeances[id_nageur],$A54,tblSeances[lundi],$B54,tblSeances[faite],"oui"),""))</f>
        <v/>
      </c>
      <c r="F54" s="24">
        <f>IF(OR($A54="",O54="",O54=0),"", (D54-O54)/O54)</f>
        <v/>
      </c>
      <c r="G54" s="20">
        <f>IF($A54="","",IFERROR(INDEX(FILTER(tblSeances[type_semaine],(tblSeances[id_nageur]=$A54)*(tblSeances[lundi]=$B54)*(tblSeances[type_semaine]&lt;&gt;"")),1),IF(AND(O54&gt;0,D54&lt;=0.7*O54),"allegee","normale")))</f>
        <v/>
      </c>
      <c r="H54" s="23">
        <f>IF($A54="","",IFERROR(LET(d,MAXIFS(tblSeances[lundi],tblSeances[id_nageur],$A54,tblSeances[type_semaine],"allegee"),IF(d=0,"",($B54-d)/7)),""))</f>
        <v/>
      </c>
      <c r="I54" s="23">
        <f>IF($A54="","",IFERROR(LET(d,MAXIFS(tblTests[date],tblTests[id_nageur],$A54,tblTests[protocole],"T100",tblTests[valide],"oui"),IF(d=0,"",($B54-d)/7)),""))</f>
        <v/>
      </c>
      <c r="J54" s="23">
        <f>IF($A54="","",IFERROR(LET(d,MAXIFS(tblTests[date],tblTests[id_nageur],$A54,tblTests[protocole],"T400",tblTests[valide],"oui"),IF(d=0,"",($B54-d)/7)),""))</f>
        <v/>
      </c>
      <c r="K54" s="23">
        <f>IF($A54="","",IFERROR((XLOOKUP($A54,tblObjectifs[cle_dashboard],tblObjectifs[date_objectif])-$B54)/7,""))</f>
        <v/>
      </c>
      <c r="L54" s="20">
        <f>IF($A54="","",IFS(C54&lt;=1,"",AND(K54&lt;&gt;"",K54&lt;=3),"affutage",G54="allegee","en_cours",AND(H54&lt;&gt;"",H54&gt;=IF(R54&lt;=2,5,3),C54&gt;=IF(R54&lt;=2,2,3)),"due",AND(F54&lt;&gt;"",F54&gt;0.1),"volume_+10%",AND(E54&lt;&gt;"",E54&gt;=8,P54&lt;&gt;"",P54&gt;=8),"rpe_2sem",Q54&gt;=2,"trop_casse",TRUE,""))</f>
        <v/>
      </c>
      <c r="M54" s="20">
        <f>IF($A54="","",IFS(AND(K54&lt;&gt;"",K54&lt;=3),"pas_maintenant",G54="allegee","attendre_fin_deload",AND(E54&lt;&gt;"",E54&gt;=8),"pas_maintenant",AND(I54&lt;&gt;"",I54&gt;=5,J54&lt;&gt;"",J54&gt;=7),"tester_A_et_B",AND(I54&lt;&gt;"",I54&gt;=5),"tester_A",AND(J54&lt;&gt;"",J54&gt;=7),"tester_B",TRUE,""))</f>
        <v/>
      </c>
      <c r="N54" s="22">
        <f>IF($A54="","",TEXTJOIN(" · ",TRUE,IF(L54="due","Deload cette semaine (−30% vol, RPE≤6, pas de max)",""),IF(L54="en_cours","Deload en cours — garder le leger",""),IF(L54="volume_+10%","Volume +10% vs S-1 — alleger S+1",""),IF(L54="rpe_2sem","RPE eleve 2 sem — alleger maintenant",""),IF(L54="trop_casse","Trop de seances cassees — recup cette semaine",""),IF(L54="affutage","Affutage : plus de max, allure de course",""),IF(M54="tester_A","Retest A (T50+T100) apres une seance facile",""),IF(M54="tester_B","Retest B (T200+T400) a frais",""),IF(M54="tester_A_et_B","Retest A cette sem, B la suivante",""),IF(M54="attendre_fin_deload","Retest apres le deload, pas pendant",""),IF(M54="pas_maintenant","Pas de test a fond",""),IF(AND(L54="",M54=""),"Charge OK — semaine normale","")))</f>
        <v/>
      </c>
      <c r="O54" s="20">
        <f>IF($A54="","",SUMIFS(tblSeances[volume_m],tblSeances[id_nageur],$A54,tblSeances[lundi],$B54-7,tblSeances[faite],"oui"))</f>
        <v/>
      </c>
      <c r="P54" s="23">
        <f>IF($A54="","",IFERROR(AVERAGEIFS(tblSeances[rpe],tblSeances[id_nageur],$A54,tblSeances[lundi],$B54-7,tblSeances[faite],"oui"),""))</f>
        <v/>
      </c>
      <c r="Q54" s="20">
        <f>IF($A54="","",COUNTIFS(tblSeances[id_nageur],$A54,tblSeances[lundi],$B54,tblSeances[qualite],"casse"))</f>
        <v/>
      </c>
      <c r="R54" s="20">
        <f>IF($A54="","",IFERROR(INDEX(tblNageurs[seances_sem],MATCH($A54,tblNageurs[id],0)),3))</f>
        <v/>
      </c>
    </row>
    <row r="55" ht="28" customHeight="1">
      <c r="A55" s="34" t="n"/>
      <c r="B55" s="35" t="n"/>
      <c r="C55" s="13">
        <f>IF($A55="","",COUNTIFS(tblSeances[id_nageur],$A55,tblSeances[lundi],$B55,tblSeances[faite],"oui"))</f>
        <v/>
      </c>
      <c r="D55" s="13">
        <f>IF($A55="","",SUMIFS(tblSeances[volume_m],tblSeances[id_nageur],$A55,tblSeances[lundi],$B55,tblSeances[faite],"oui"))</f>
        <v/>
      </c>
      <c r="E55" s="16">
        <f>IF($A55="","",IFERROR(AVERAGEIFS(tblSeances[rpe],tblSeances[id_nageur],$A55,tblSeances[lundi],$B55,tblSeances[faite],"oui"),""))</f>
        <v/>
      </c>
      <c r="F55" s="17">
        <f>IF(OR($A55="",O55="",O55=0),"", (D55-O55)/O55)</f>
        <v/>
      </c>
      <c r="G55" s="13">
        <f>IF($A55="","",IFERROR(INDEX(FILTER(tblSeances[type_semaine],(tblSeances[id_nageur]=$A55)*(tblSeances[lundi]=$B55)*(tblSeances[type_semaine]&lt;&gt;"")),1),IF(AND(O55&gt;0,D55&lt;=0.7*O55),"allegee","normale")))</f>
        <v/>
      </c>
      <c r="H55" s="16">
        <f>IF($A55="","",IFERROR(LET(d,MAXIFS(tblSeances[lundi],tblSeances[id_nageur],$A55,tblSeances[type_semaine],"allegee"),IF(d=0,"",($B55-d)/7)),""))</f>
        <v/>
      </c>
      <c r="I55" s="16">
        <f>IF($A55="","",IFERROR(LET(d,MAXIFS(tblTests[date],tblTests[id_nageur],$A55,tblTests[protocole],"T100",tblTests[valide],"oui"),IF(d=0,"",($B55-d)/7)),""))</f>
        <v/>
      </c>
      <c r="J55" s="16">
        <f>IF($A55="","",IFERROR(LET(d,MAXIFS(tblTests[date],tblTests[id_nageur],$A55,tblTests[protocole],"T400",tblTests[valide],"oui"),IF(d=0,"",($B55-d)/7)),""))</f>
        <v/>
      </c>
      <c r="K55" s="16">
        <f>IF($A55="","",IFERROR((XLOOKUP($A55,tblObjectifs[cle_dashboard],tblObjectifs[date_objectif])-$B55)/7,""))</f>
        <v/>
      </c>
      <c r="L55" s="13">
        <f>IF($A55="","",IFS(C55&lt;=1,"",AND(K55&lt;&gt;"",K55&lt;=3),"affutage",G55="allegee","en_cours",AND(H55&lt;&gt;"",H55&gt;=IF(R55&lt;=2,5,3),C55&gt;=IF(R55&lt;=2,2,3)),"due",AND(F55&lt;&gt;"",F55&gt;0.1),"volume_+10%",AND(E55&lt;&gt;"",E55&gt;=8,P55&lt;&gt;"",P55&gt;=8),"rpe_2sem",Q55&gt;=2,"trop_casse",TRUE,""))</f>
        <v/>
      </c>
      <c r="M55" s="13">
        <f>IF($A55="","",IFS(AND(K55&lt;&gt;"",K55&lt;=3),"pas_maintenant",G55="allegee","attendre_fin_deload",AND(E55&lt;&gt;"",E55&gt;=8),"pas_maintenant",AND(I55&lt;&gt;"",I55&gt;=5,J55&lt;&gt;"",J55&gt;=7),"tester_A_et_B",AND(I55&lt;&gt;"",I55&gt;=5),"tester_A",AND(J55&lt;&gt;"",J55&gt;=7),"tester_B",TRUE,""))</f>
        <v/>
      </c>
      <c r="N55" s="15">
        <f>IF($A55="","",TEXTJOIN(" · ",TRUE,IF(L55="due","Deload cette semaine (−30% vol, RPE≤6, pas de max)",""),IF(L55="en_cours","Deload en cours — garder le leger",""),IF(L55="volume_+10%","Volume +10% vs S-1 — alleger S+1",""),IF(L55="rpe_2sem","RPE eleve 2 sem — alleger maintenant",""),IF(L55="trop_casse","Trop de seances cassees — recup cette semaine",""),IF(L55="affutage","Affutage : plus de max, allure de course",""),IF(M55="tester_A","Retest A (T50+T100) apres une seance facile",""),IF(M55="tester_B","Retest B (T200+T400) a frais",""),IF(M55="tester_A_et_B","Retest A cette sem, B la suivante",""),IF(M55="attendre_fin_deload","Retest apres le deload, pas pendant",""),IF(M55="pas_maintenant","Pas de test a fond",""),IF(AND(L55="",M55=""),"Charge OK — semaine normale","")))</f>
        <v/>
      </c>
      <c r="O55" s="13">
        <f>IF($A55="","",SUMIFS(tblSeances[volume_m],tblSeances[id_nageur],$A55,tblSeances[lundi],$B55-7,tblSeances[faite],"oui"))</f>
        <v/>
      </c>
      <c r="P55" s="16">
        <f>IF($A55="","",IFERROR(AVERAGEIFS(tblSeances[rpe],tblSeances[id_nageur],$A55,tblSeances[lundi],$B55-7,tblSeances[faite],"oui"),""))</f>
        <v/>
      </c>
      <c r="Q55" s="13">
        <f>IF($A55="","",COUNTIFS(tblSeances[id_nageur],$A55,tblSeances[lundi],$B55,tblSeances[qualite],"casse"))</f>
        <v/>
      </c>
      <c r="R55" s="13">
        <f>IF($A55="","",IFERROR(INDEX(tblNageurs[seances_sem],MATCH($A55,tblNageurs[id],0)),3))</f>
        <v/>
      </c>
    </row>
    <row r="56" ht="28" customHeight="1">
      <c r="A56" s="34" t="n"/>
      <c r="B56" s="35" t="n"/>
      <c r="C56" s="20">
        <f>IF($A56="","",COUNTIFS(tblSeances[id_nageur],$A56,tblSeances[lundi],$B56,tblSeances[faite],"oui"))</f>
        <v/>
      </c>
      <c r="D56" s="20">
        <f>IF($A56="","",SUMIFS(tblSeances[volume_m],tblSeances[id_nageur],$A56,tblSeances[lundi],$B56,tblSeances[faite],"oui"))</f>
        <v/>
      </c>
      <c r="E56" s="23">
        <f>IF($A56="","",IFERROR(AVERAGEIFS(tblSeances[rpe],tblSeances[id_nageur],$A56,tblSeances[lundi],$B56,tblSeances[faite],"oui"),""))</f>
        <v/>
      </c>
      <c r="F56" s="24">
        <f>IF(OR($A56="",O56="",O56=0),"", (D56-O56)/O56)</f>
        <v/>
      </c>
      <c r="G56" s="20">
        <f>IF($A56="","",IFERROR(INDEX(FILTER(tblSeances[type_semaine],(tblSeances[id_nageur]=$A56)*(tblSeances[lundi]=$B56)*(tblSeances[type_semaine]&lt;&gt;"")),1),IF(AND(O56&gt;0,D56&lt;=0.7*O56),"allegee","normale")))</f>
        <v/>
      </c>
      <c r="H56" s="23">
        <f>IF($A56="","",IFERROR(LET(d,MAXIFS(tblSeances[lundi],tblSeances[id_nageur],$A56,tblSeances[type_semaine],"allegee"),IF(d=0,"",($B56-d)/7)),""))</f>
        <v/>
      </c>
      <c r="I56" s="23">
        <f>IF($A56="","",IFERROR(LET(d,MAXIFS(tblTests[date],tblTests[id_nageur],$A56,tblTests[protocole],"T100",tblTests[valide],"oui"),IF(d=0,"",($B56-d)/7)),""))</f>
        <v/>
      </c>
      <c r="J56" s="23">
        <f>IF($A56="","",IFERROR(LET(d,MAXIFS(tblTests[date],tblTests[id_nageur],$A56,tblTests[protocole],"T400",tblTests[valide],"oui"),IF(d=0,"",($B56-d)/7)),""))</f>
        <v/>
      </c>
      <c r="K56" s="23">
        <f>IF($A56="","",IFERROR((XLOOKUP($A56,tblObjectifs[cle_dashboard],tblObjectifs[date_objectif])-$B56)/7,""))</f>
        <v/>
      </c>
      <c r="L56" s="20">
        <f>IF($A56="","",IFS(C56&lt;=1,"",AND(K56&lt;&gt;"",K56&lt;=3),"affutage",G56="allegee","en_cours",AND(H56&lt;&gt;"",H56&gt;=IF(R56&lt;=2,5,3),C56&gt;=IF(R56&lt;=2,2,3)),"due",AND(F56&lt;&gt;"",F56&gt;0.1),"volume_+10%",AND(E56&lt;&gt;"",E56&gt;=8,P56&lt;&gt;"",P56&gt;=8),"rpe_2sem",Q56&gt;=2,"trop_casse",TRUE,""))</f>
        <v/>
      </c>
      <c r="M56" s="20">
        <f>IF($A56="","",IFS(AND(K56&lt;&gt;"",K56&lt;=3),"pas_maintenant",G56="allegee","attendre_fin_deload",AND(E56&lt;&gt;"",E56&gt;=8),"pas_maintenant",AND(I56&lt;&gt;"",I56&gt;=5,J56&lt;&gt;"",J56&gt;=7),"tester_A_et_B",AND(I56&lt;&gt;"",I56&gt;=5),"tester_A",AND(J56&lt;&gt;"",J56&gt;=7),"tester_B",TRUE,""))</f>
        <v/>
      </c>
      <c r="N56" s="22">
        <f>IF($A56="","",TEXTJOIN(" · ",TRUE,IF(L56="due","Deload cette semaine (−30% vol, RPE≤6, pas de max)",""),IF(L56="en_cours","Deload en cours — garder le leger",""),IF(L56="volume_+10%","Volume +10% vs S-1 — alleger S+1",""),IF(L56="rpe_2sem","RPE eleve 2 sem — alleger maintenant",""),IF(L56="trop_casse","Trop de seances cassees — recup cette semaine",""),IF(L56="affutage","Affutage : plus de max, allure de course",""),IF(M56="tester_A","Retest A (T50+T100) apres une seance facile",""),IF(M56="tester_B","Retest B (T200+T400) a frais",""),IF(M56="tester_A_et_B","Retest A cette sem, B la suivante",""),IF(M56="attendre_fin_deload","Retest apres le deload, pas pendant",""),IF(M56="pas_maintenant","Pas de test a fond",""),IF(AND(L56="",M56=""),"Charge OK — semaine normale","")))</f>
        <v/>
      </c>
      <c r="O56" s="20">
        <f>IF($A56="","",SUMIFS(tblSeances[volume_m],tblSeances[id_nageur],$A56,tblSeances[lundi],$B56-7,tblSeances[faite],"oui"))</f>
        <v/>
      </c>
      <c r="P56" s="23">
        <f>IF($A56="","",IFERROR(AVERAGEIFS(tblSeances[rpe],tblSeances[id_nageur],$A56,tblSeances[lundi],$B56-7,tblSeances[faite],"oui"),""))</f>
        <v/>
      </c>
      <c r="Q56" s="20">
        <f>IF($A56="","",COUNTIFS(tblSeances[id_nageur],$A56,tblSeances[lundi],$B56,tblSeances[qualite],"casse"))</f>
        <v/>
      </c>
      <c r="R56" s="20">
        <f>IF($A56="","",IFERROR(INDEX(tblNageurs[seances_sem],MATCH($A56,tblNageurs[id],0)),3))</f>
        <v/>
      </c>
    </row>
    <row r="57" ht="28" customHeight="1">
      <c r="A57" s="34" t="n"/>
      <c r="B57" s="35" t="n"/>
      <c r="C57" s="13">
        <f>IF($A57="","",COUNTIFS(tblSeances[id_nageur],$A57,tblSeances[lundi],$B57,tblSeances[faite],"oui"))</f>
        <v/>
      </c>
      <c r="D57" s="13">
        <f>IF($A57="","",SUMIFS(tblSeances[volume_m],tblSeances[id_nageur],$A57,tblSeances[lundi],$B57,tblSeances[faite],"oui"))</f>
        <v/>
      </c>
      <c r="E57" s="16">
        <f>IF($A57="","",IFERROR(AVERAGEIFS(tblSeances[rpe],tblSeances[id_nageur],$A57,tblSeances[lundi],$B57,tblSeances[faite],"oui"),""))</f>
        <v/>
      </c>
      <c r="F57" s="17">
        <f>IF(OR($A57="",O57="",O57=0),"", (D57-O57)/O57)</f>
        <v/>
      </c>
      <c r="G57" s="13">
        <f>IF($A57="","",IFERROR(INDEX(FILTER(tblSeances[type_semaine],(tblSeances[id_nageur]=$A57)*(tblSeances[lundi]=$B57)*(tblSeances[type_semaine]&lt;&gt;"")),1),IF(AND(O57&gt;0,D57&lt;=0.7*O57),"allegee","normale")))</f>
        <v/>
      </c>
      <c r="H57" s="16">
        <f>IF($A57="","",IFERROR(LET(d,MAXIFS(tblSeances[lundi],tblSeances[id_nageur],$A57,tblSeances[type_semaine],"allegee"),IF(d=0,"",($B57-d)/7)),""))</f>
        <v/>
      </c>
      <c r="I57" s="16">
        <f>IF($A57="","",IFERROR(LET(d,MAXIFS(tblTests[date],tblTests[id_nageur],$A57,tblTests[protocole],"T100",tblTests[valide],"oui"),IF(d=0,"",($B57-d)/7)),""))</f>
        <v/>
      </c>
      <c r="J57" s="16">
        <f>IF($A57="","",IFERROR(LET(d,MAXIFS(tblTests[date],tblTests[id_nageur],$A57,tblTests[protocole],"T400",tblTests[valide],"oui"),IF(d=0,"",($B57-d)/7)),""))</f>
        <v/>
      </c>
      <c r="K57" s="16">
        <f>IF($A57="","",IFERROR((XLOOKUP($A57,tblObjectifs[cle_dashboard],tblObjectifs[date_objectif])-$B57)/7,""))</f>
        <v/>
      </c>
      <c r="L57" s="13">
        <f>IF($A57="","",IFS(C57&lt;=1,"",AND(K57&lt;&gt;"",K57&lt;=3),"affutage",G57="allegee","en_cours",AND(H57&lt;&gt;"",H57&gt;=IF(R57&lt;=2,5,3),C57&gt;=IF(R57&lt;=2,2,3)),"due",AND(F57&lt;&gt;"",F57&gt;0.1),"volume_+10%",AND(E57&lt;&gt;"",E57&gt;=8,P57&lt;&gt;"",P57&gt;=8),"rpe_2sem",Q57&gt;=2,"trop_casse",TRUE,""))</f>
        <v/>
      </c>
      <c r="M57" s="13">
        <f>IF($A57="","",IFS(AND(K57&lt;&gt;"",K57&lt;=3),"pas_maintenant",G57="allegee","attendre_fin_deload",AND(E57&lt;&gt;"",E57&gt;=8),"pas_maintenant",AND(I57&lt;&gt;"",I57&gt;=5,J57&lt;&gt;"",J57&gt;=7),"tester_A_et_B",AND(I57&lt;&gt;"",I57&gt;=5),"tester_A",AND(J57&lt;&gt;"",J57&gt;=7),"tester_B",TRUE,""))</f>
        <v/>
      </c>
      <c r="N57" s="15">
        <f>IF($A57="","",TEXTJOIN(" · ",TRUE,IF(L57="due","Deload cette semaine (−30% vol, RPE≤6, pas de max)",""),IF(L57="en_cours","Deload en cours — garder le leger",""),IF(L57="volume_+10%","Volume +10% vs S-1 — alleger S+1",""),IF(L57="rpe_2sem","RPE eleve 2 sem — alleger maintenant",""),IF(L57="trop_casse","Trop de seances cassees — recup cette semaine",""),IF(L57="affutage","Affutage : plus de max, allure de course",""),IF(M57="tester_A","Retest A (T50+T100) apres une seance facile",""),IF(M57="tester_B","Retest B (T200+T400) a frais",""),IF(M57="tester_A_et_B","Retest A cette sem, B la suivante",""),IF(M57="attendre_fin_deload","Retest apres le deload, pas pendant",""),IF(M57="pas_maintenant","Pas de test a fond",""),IF(AND(L57="",M57=""),"Charge OK — semaine normale","")))</f>
        <v/>
      </c>
      <c r="O57" s="13">
        <f>IF($A57="","",SUMIFS(tblSeances[volume_m],tblSeances[id_nageur],$A57,tblSeances[lundi],$B57-7,tblSeances[faite],"oui"))</f>
        <v/>
      </c>
      <c r="P57" s="16">
        <f>IF($A57="","",IFERROR(AVERAGEIFS(tblSeances[rpe],tblSeances[id_nageur],$A57,tblSeances[lundi],$B57-7,tblSeances[faite],"oui"),""))</f>
        <v/>
      </c>
      <c r="Q57" s="13">
        <f>IF($A57="","",COUNTIFS(tblSeances[id_nageur],$A57,tblSeances[lundi],$B57,tblSeances[qualite],"casse"))</f>
        <v/>
      </c>
      <c r="R57" s="13">
        <f>IF($A57="","",IFERROR(INDEX(tblNageurs[seances_sem],MATCH($A57,tblNageurs[id],0)),3))</f>
        <v/>
      </c>
    </row>
    <row r="58" ht="28" customHeight="1">
      <c r="A58" s="34" t="n"/>
      <c r="B58" s="35" t="n"/>
      <c r="C58" s="20">
        <f>IF($A58="","",COUNTIFS(tblSeances[id_nageur],$A58,tblSeances[lundi],$B58,tblSeances[faite],"oui"))</f>
        <v/>
      </c>
      <c r="D58" s="20">
        <f>IF($A58="","",SUMIFS(tblSeances[volume_m],tblSeances[id_nageur],$A58,tblSeances[lundi],$B58,tblSeances[faite],"oui"))</f>
        <v/>
      </c>
      <c r="E58" s="23">
        <f>IF($A58="","",IFERROR(AVERAGEIFS(tblSeances[rpe],tblSeances[id_nageur],$A58,tblSeances[lundi],$B58,tblSeances[faite],"oui"),""))</f>
        <v/>
      </c>
      <c r="F58" s="24">
        <f>IF(OR($A58="",O58="",O58=0),"", (D58-O58)/O58)</f>
        <v/>
      </c>
      <c r="G58" s="20">
        <f>IF($A58="","",IFERROR(INDEX(FILTER(tblSeances[type_semaine],(tblSeances[id_nageur]=$A58)*(tblSeances[lundi]=$B58)*(tblSeances[type_semaine]&lt;&gt;"")),1),IF(AND(O58&gt;0,D58&lt;=0.7*O58),"allegee","normale")))</f>
        <v/>
      </c>
      <c r="H58" s="23">
        <f>IF($A58="","",IFERROR(LET(d,MAXIFS(tblSeances[lundi],tblSeances[id_nageur],$A58,tblSeances[type_semaine],"allegee"),IF(d=0,"",($B58-d)/7)),""))</f>
        <v/>
      </c>
      <c r="I58" s="23">
        <f>IF($A58="","",IFERROR(LET(d,MAXIFS(tblTests[date],tblTests[id_nageur],$A58,tblTests[protocole],"T100",tblTests[valide],"oui"),IF(d=0,"",($B58-d)/7)),""))</f>
        <v/>
      </c>
      <c r="J58" s="23">
        <f>IF($A58="","",IFERROR(LET(d,MAXIFS(tblTests[date],tblTests[id_nageur],$A58,tblTests[protocole],"T400",tblTests[valide],"oui"),IF(d=0,"",($B58-d)/7)),""))</f>
        <v/>
      </c>
      <c r="K58" s="23">
        <f>IF($A58="","",IFERROR((XLOOKUP($A58,tblObjectifs[cle_dashboard],tblObjectifs[date_objectif])-$B58)/7,""))</f>
        <v/>
      </c>
      <c r="L58" s="20">
        <f>IF($A58="","",IFS(C58&lt;=1,"",AND(K58&lt;&gt;"",K58&lt;=3),"affutage",G58="allegee","en_cours",AND(H58&lt;&gt;"",H58&gt;=IF(R58&lt;=2,5,3),C58&gt;=IF(R58&lt;=2,2,3)),"due",AND(F58&lt;&gt;"",F58&gt;0.1),"volume_+10%",AND(E58&lt;&gt;"",E58&gt;=8,P58&lt;&gt;"",P58&gt;=8),"rpe_2sem",Q58&gt;=2,"trop_casse",TRUE,""))</f>
        <v/>
      </c>
      <c r="M58" s="20">
        <f>IF($A58="","",IFS(AND(K58&lt;&gt;"",K58&lt;=3),"pas_maintenant",G58="allegee","attendre_fin_deload",AND(E58&lt;&gt;"",E58&gt;=8),"pas_maintenant",AND(I58&lt;&gt;"",I58&gt;=5,J58&lt;&gt;"",J58&gt;=7),"tester_A_et_B",AND(I58&lt;&gt;"",I58&gt;=5),"tester_A",AND(J58&lt;&gt;"",J58&gt;=7),"tester_B",TRUE,""))</f>
        <v/>
      </c>
      <c r="N58" s="22">
        <f>IF($A58="","",TEXTJOIN(" · ",TRUE,IF(L58="due","Deload cette semaine (−30% vol, RPE≤6, pas de max)",""),IF(L58="en_cours","Deload en cours — garder le leger",""),IF(L58="volume_+10%","Volume +10% vs S-1 — alleger S+1",""),IF(L58="rpe_2sem","RPE eleve 2 sem — alleger maintenant",""),IF(L58="trop_casse","Trop de seances cassees — recup cette semaine",""),IF(L58="affutage","Affutage : plus de max, allure de course",""),IF(M58="tester_A","Retest A (T50+T100) apres une seance facile",""),IF(M58="tester_B","Retest B (T200+T400) a frais",""),IF(M58="tester_A_et_B","Retest A cette sem, B la suivante",""),IF(M58="attendre_fin_deload","Retest apres le deload, pas pendant",""),IF(M58="pas_maintenant","Pas de test a fond",""),IF(AND(L58="",M58=""),"Charge OK — semaine normale","")))</f>
        <v/>
      </c>
      <c r="O58" s="20">
        <f>IF($A58="","",SUMIFS(tblSeances[volume_m],tblSeances[id_nageur],$A58,tblSeances[lundi],$B58-7,tblSeances[faite],"oui"))</f>
        <v/>
      </c>
      <c r="P58" s="23">
        <f>IF($A58="","",IFERROR(AVERAGEIFS(tblSeances[rpe],tblSeances[id_nageur],$A58,tblSeances[lundi],$B58-7,tblSeances[faite],"oui"),""))</f>
        <v/>
      </c>
      <c r="Q58" s="20">
        <f>IF($A58="","",COUNTIFS(tblSeances[id_nageur],$A58,tblSeances[lundi],$B58,tblSeances[qualite],"casse"))</f>
        <v/>
      </c>
      <c r="R58" s="20">
        <f>IF($A58="","",IFERROR(INDEX(tblNageurs[seances_sem],MATCH($A58,tblNageurs[id],0)),3))</f>
        <v/>
      </c>
    </row>
    <row r="59" ht="28" customHeight="1">
      <c r="A59" s="34" t="n"/>
      <c r="B59" s="35" t="n"/>
      <c r="C59" s="13">
        <f>IF($A59="","",COUNTIFS(tblSeances[id_nageur],$A59,tblSeances[lundi],$B59,tblSeances[faite],"oui"))</f>
        <v/>
      </c>
      <c r="D59" s="13">
        <f>IF($A59="","",SUMIFS(tblSeances[volume_m],tblSeances[id_nageur],$A59,tblSeances[lundi],$B59,tblSeances[faite],"oui"))</f>
        <v/>
      </c>
      <c r="E59" s="16">
        <f>IF($A59="","",IFERROR(AVERAGEIFS(tblSeances[rpe],tblSeances[id_nageur],$A59,tblSeances[lundi],$B59,tblSeances[faite],"oui"),""))</f>
        <v/>
      </c>
      <c r="F59" s="17">
        <f>IF(OR($A59="",O59="",O59=0),"", (D59-O59)/O59)</f>
        <v/>
      </c>
      <c r="G59" s="13">
        <f>IF($A59="","",IFERROR(INDEX(FILTER(tblSeances[type_semaine],(tblSeances[id_nageur]=$A59)*(tblSeances[lundi]=$B59)*(tblSeances[type_semaine]&lt;&gt;"")),1),IF(AND(O59&gt;0,D59&lt;=0.7*O59),"allegee","normale")))</f>
        <v/>
      </c>
      <c r="H59" s="16">
        <f>IF($A59="","",IFERROR(LET(d,MAXIFS(tblSeances[lundi],tblSeances[id_nageur],$A59,tblSeances[type_semaine],"allegee"),IF(d=0,"",($B59-d)/7)),""))</f>
        <v/>
      </c>
      <c r="I59" s="16">
        <f>IF($A59="","",IFERROR(LET(d,MAXIFS(tblTests[date],tblTests[id_nageur],$A59,tblTests[protocole],"T100",tblTests[valide],"oui"),IF(d=0,"",($B59-d)/7)),""))</f>
        <v/>
      </c>
      <c r="J59" s="16">
        <f>IF($A59="","",IFERROR(LET(d,MAXIFS(tblTests[date],tblTests[id_nageur],$A59,tblTests[protocole],"T400",tblTests[valide],"oui"),IF(d=0,"",($B59-d)/7)),""))</f>
        <v/>
      </c>
      <c r="K59" s="16">
        <f>IF($A59="","",IFERROR((XLOOKUP($A59,tblObjectifs[cle_dashboard],tblObjectifs[date_objectif])-$B59)/7,""))</f>
        <v/>
      </c>
      <c r="L59" s="13">
        <f>IF($A59="","",IFS(C59&lt;=1,"",AND(K59&lt;&gt;"",K59&lt;=3),"affutage",G59="allegee","en_cours",AND(H59&lt;&gt;"",H59&gt;=IF(R59&lt;=2,5,3),C59&gt;=IF(R59&lt;=2,2,3)),"due",AND(F59&lt;&gt;"",F59&gt;0.1),"volume_+10%",AND(E59&lt;&gt;"",E59&gt;=8,P59&lt;&gt;"",P59&gt;=8),"rpe_2sem",Q59&gt;=2,"trop_casse",TRUE,""))</f>
        <v/>
      </c>
      <c r="M59" s="13">
        <f>IF($A59="","",IFS(AND(K59&lt;&gt;"",K59&lt;=3),"pas_maintenant",G59="allegee","attendre_fin_deload",AND(E59&lt;&gt;"",E59&gt;=8),"pas_maintenant",AND(I59&lt;&gt;"",I59&gt;=5,J59&lt;&gt;"",J59&gt;=7),"tester_A_et_B",AND(I59&lt;&gt;"",I59&gt;=5),"tester_A",AND(J59&lt;&gt;"",J59&gt;=7),"tester_B",TRUE,""))</f>
        <v/>
      </c>
      <c r="N59" s="15">
        <f>IF($A59="","",TEXTJOIN(" · ",TRUE,IF(L59="due","Deload cette semaine (−30% vol, RPE≤6, pas de max)",""),IF(L59="en_cours","Deload en cours — garder le leger",""),IF(L59="volume_+10%","Volume +10% vs S-1 — alleger S+1",""),IF(L59="rpe_2sem","RPE eleve 2 sem — alleger maintenant",""),IF(L59="trop_casse","Trop de seances cassees — recup cette semaine",""),IF(L59="affutage","Affutage : plus de max, allure de course",""),IF(M59="tester_A","Retest A (T50+T100) apres une seance facile",""),IF(M59="tester_B","Retest B (T200+T400) a frais",""),IF(M59="tester_A_et_B","Retest A cette sem, B la suivante",""),IF(M59="attendre_fin_deload","Retest apres le deload, pas pendant",""),IF(M59="pas_maintenant","Pas de test a fond",""),IF(AND(L59="",M59=""),"Charge OK — semaine normale","")))</f>
        <v/>
      </c>
      <c r="O59" s="13">
        <f>IF($A59="","",SUMIFS(tblSeances[volume_m],tblSeances[id_nageur],$A59,tblSeances[lundi],$B59-7,tblSeances[faite],"oui"))</f>
        <v/>
      </c>
      <c r="P59" s="16">
        <f>IF($A59="","",IFERROR(AVERAGEIFS(tblSeances[rpe],tblSeances[id_nageur],$A59,tblSeances[lundi],$B59-7,tblSeances[faite],"oui"),""))</f>
        <v/>
      </c>
      <c r="Q59" s="13">
        <f>IF($A59="","",COUNTIFS(tblSeances[id_nageur],$A59,tblSeances[lundi],$B59,tblSeances[qualite],"casse"))</f>
        <v/>
      </c>
      <c r="R59" s="13">
        <f>IF($A59="","",IFERROR(INDEX(tblNageurs[seances_sem],MATCH($A59,tblNageurs[id],0)),3))</f>
        <v/>
      </c>
    </row>
    <row r="60" ht="28" customHeight="1">
      <c r="A60" s="34" t="n"/>
      <c r="B60" s="35" t="n"/>
      <c r="C60" s="20">
        <f>IF($A60="","",COUNTIFS(tblSeances[id_nageur],$A60,tblSeances[lundi],$B60,tblSeances[faite],"oui"))</f>
        <v/>
      </c>
      <c r="D60" s="20">
        <f>IF($A60="","",SUMIFS(tblSeances[volume_m],tblSeances[id_nageur],$A60,tblSeances[lundi],$B60,tblSeances[faite],"oui"))</f>
        <v/>
      </c>
      <c r="E60" s="23">
        <f>IF($A60="","",IFERROR(AVERAGEIFS(tblSeances[rpe],tblSeances[id_nageur],$A60,tblSeances[lundi],$B60,tblSeances[faite],"oui"),""))</f>
        <v/>
      </c>
      <c r="F60" s="24">
        <f>IF(OR($A60="",O60="",O60=0),"", (D60-O60)/O60)</f>
        <v/>
      </c>
      <c r="G60" s="20">
        <f>IF($A60="","",IFERROR(INDEX(FILTER(tblSeances[type_semaine],(tblSeances[id_nageur]=$A60)*(tblSeances[lundi]=$B60)*(tblSeances[type_semaine]&lt;&gt;"")),1),IF(AND(O60&gt;0,D60&lt;=0.7*O60),"allegee","normale")))</f>
        <v/>
      </c>
      <c r="H60" s="23">
        <f>IF($A60="","",IFERROR(LET(d,MAXIFS(tblSeances[lundi],tblSeances[id_nageur],$A60,tblSeances[type_semaine],"allegee"),IF(d=0,"",($B60-d)/7)),""))</f>
        <v/>
      </c>
      <c r="I60" s="23">
        <f>IF($A60="","",IFERROR(LET(d,MAXIFS(tblTests[date],tblTests[id_nageur],$A60,tblTests[protocole],"T100",tblTests[valide],"oui"),IF(d=0,"",($B60-d)/7)),""))</f>
        <v/>
      </c>
      <c r="J60" s="23">
        <f>IF($A60="","",IFERROR(LET(d,MAXIFS(tblTests[date],tblTests[id_nageur],$A60,tblTests[protocole],"T400",tblTests[valide],"oui"),IF(d=0,"",($B60-d)/7)),""))</f>
        <v/>
      </c>
      <c r="K60" s="23">
        <f>IF($A60="","",IFERROR((XLOOKUP($A60,tblObjectifs[cle_dashboard],tblObjectifs[date_objectif])-$B60)/7,""))</f>
        <v/>
      </c>
      <c r="L60" s="20">
        <f>IF($A60="","",IFS(C60&lt;=1,"",AND(K60&lt;&gt;"",K60&lt;=3),"affutage",G60="allegee","en_cours",AND(H60&lt;&gt;"",H60&gt;=IF(R60&lt;=2,5,3),C60&gt;=IF(R60&lt;=2,2,3)),"due",AND(F60&lt;&gt;"",F60&gt;0.1),"volume_+10%",AND(E60&lt;&gt;"",E60&gt;=8,P60&lt;&gt;"",P60&gt;=8),"rpe_2sem",Q60&gt;=2,"trop_casse",TRUE,""))</f>
        <v/>
      </c>
      <c r="M60" s="20">
        <f>IF($A60="","",IFS(AND(K60&lt;&gt;"",K60&lt;=3),"pas_maintenant",G60="allegee","attendre_fin_deload",AND(E60&lt;&gt;"",E60&gt;=8),"pas_maintenant",AND(I60&lt;&gt;"",I60&gt;=5,J60&lt;&gt;"",J60&gt;=7),"tester_A_et_B",AND(I60&lt;&gt;"",I60&gt;=5),"tester_A",AND(J60&lt;&gt;"",J60&gt;=7),"tester_B",TRUE,""))</f>
        <v/>
      </c>
      <c r="N60" s="22">
        <f>IF($A60="","",TEXTJOIN(" · ",TRUE,IF(L60="due","Deload cette semaine (−30% vol, RPE≤6, pas de max)",""),IF(L60="en_cours","Deload en cours — garder le leger",""),IF(L60="volume_+10%","Volume +10% vs S-1 — alleger S+1",""),IF(L60="rpe_2sem","RPE eleve 2 sem — alleger maintenant",""),IF(L60="trop_casse","Trop de seances cassees — recup cette semaine",""),IF(L60="affutage","Affutage : plus de max, allure de course",""),IF(M60="tester_A","Retest A (T50+T100) apres une seance facile",""),IF(M60="tester_B","Retest B (T200+T400) a frais",""),IF(M60="tester_A_et_B","Retest A cette sem, B la suivante",""),IF(M60="attendre_fin_deload","Retest apres le deload, pas pendant",""),IF(M60="pas_maintenant","Pas de test a fond",""),IF(AND(L60="",M60=""),"Charge OK — semaine normale","")))</f>
        <v/>
      </c>
      <c r="O60" s="20">
        <f>IF($A60="","",SUMIFS(tblSeances[volume_m],tblSeances[id_nageur],$A60,tblSeances[lundi],$B60-7,tblSeances[faite],"oui"))</f>
        <v/>
      </c>
      <c r="P60" s="23">
        <f>IF($A60="","",IFERROR(AVERAGEIFS(tblSeances[rpe],tblSeances[id_nageur],$A60,tblSeances[lundi],$B60-7,tblSeances[faite],"oui"),""))</f>
        <v/>
      </c>
      <c r="Q60" s="20">
        <f>IF($A60="","",COUNTIFS(tblSeances[id_nageur],$A60,tblSeances[lundi],$B60,tblSeances[qualite],"casse"))</f>
        <v/>
      </c>
      <c r="R60" s="20">
        <f>IF($A60="","",IFERROR(INDEX(tblNageurs[seances_sem],MATCH($A60,tblNageurs[id],0)),3))</f>
        <v/>
      </c>
    </row>
    <row r="61" ht="28" customHeight="1">
      <c r="A61" s="34" t="n"/>
      <c r="B61" s="35" t="n"/>
      <c r="C61" s="13">
        <f>IF($A61="","",COUNTIFS(tblSeances[id_nageur],$A61,tblSeances[lundi],$B61,tblSeances[faite],"oui"))</f>
        <v/>
      </c>
      <c r="D61" s="13">
        <f>IF($A61="","",SUMIFS(tblSeances[volume_m],tblSeances[id_nageur],$A61,tblSeances[lundi],$B61,tblSeances[faite],"oui"))</f>
        <v/>
      </c>
      <c r="E61" s="16">
        <f>IF($A61="","",IFERROR(AVERAGEIFS(tblSeances[rpe],tblSeances[id_nageur],$A61,tblSeances[lundi],$B61,tblSeances[faite],"oui"),""))</f>
        <v/>
      </c>
      <c r="F61" s="17">
        <f>IF(OR($A61="",O61="",O61=0),"", (D61-O61)/O61)</f>
        <v/>
      </c>
      <c r="G61" s="13">
        <f>IF($A61="","",IFERROR(INDEX(FILTER(tblSeances[type_semaine],(tblSeances[id_nageur]=$A61)*(tblSeances[lundi]=$B61)*(tblSeances[type_semaine]&lt;&gt;"")),1),IF(AND(O61&gt;0,D61&lt;=0.7*O61),"allegee","normale")))</f>
        <v/>
      </c>
      <c r="H61" s="16">
        <f>IF($A61="","",IFERROR(LET(d,MAXIFS(tblSeances[lundi],tblSeances[id_nageur],$A61,tblSeances[type_semaine],"allegee"),IF(d=0,"",($B61-d)/7)),""))</f>
        <v/>
      </c>
      <c r="I61" s="16">
        <f>IF($A61="","",IFERROR(LET(d,MAXIFS(tblTests[date],tblTests[id_nageur],$A61,tblTests[protocole],"T100",tblTests[valide],"oui"),IF(d=0,"",($B61-d)/7)),""))</f>
        <v/>
      </c>
      <c r="J61" s="16">
        <f>IF($A61="","",IFERROR(LET(d,MAXIFS(tblTests[date],tblTests[id_nageur],$A61,tblTests[protocole],"T400",tblTests[valide],"oui"),IF(d=0,"",($B61-d)/7)),""))</f>
        <v/>
      </c>
      <c r="K61" s="16">
        <f>IF($A61="","",IFERROR((XLOOKUP($A61,tblObjectifs[cle_dashboard],tblObjectifs[date_objectif])-$B61)/7,""))</f>
        <v/>
      </c>
      <c r="L61" s="13">
        <f>IF($A61="","",IFS(C61&lt;=1,"",AND(K61&lt;&gt;"",K61&lt;=3),"affutage",G61="allegee","en_cours",AND(H61&lt;&gt;"",H61&gt;=IF(R61&lt;=2,5,3),C61&gt;=IF(R61&lt;=2,2,3)),"due",AND(F61&lt;&gt;"",F61&gt;0.1),"volume_+10%",AND(E61&lt;&gt;"",E61&gt;=8,P61&lt;&gt;"",P61&gt;=8),"rpe_2sem",Q61&gt;=2,"trop_casse",TRUE,""))</f>
        <v/>
      </c>
      <c r="M61" s="13">
        <f>IF($A61="","",IFS(AND(K61&lt;&gt;"",K61&lt;=3),"pas_maintenant",G61="allegee","attendre_fin_deload",AND(E61&lt;&gt;"",E61&gt;=8),"pas_maintenant",AND(I61&lt;&gt;"",I61&gt;=5,J61&lt;&gt;"",J61&gt;=7),"tester_A_et_B",AND(I61&lt;&gt;"",I61&gt;=5),"tester_A",AND(J61&lt;&gt;"",J61&gt;=7),"tester_B",TRUE,""))</f>
        <v/>
      </c>
      <c r="N61" s="15">
        <f>IF($A61="","",TEXTJOIN(" · ",TRUE,IF(L61="due","Deload cette semaine (−30% vol, RPE≤6, pas de max)",""),IF(L61="en_cours","Deload en cours — garder le leger",""),IF(L61="volume_+10%","Volume +10% vs S-1 — alleger S+1",""),IF(L61="rpe_2sem","RPE eleve 2 sem — alleger maintenant",""),IF(L61="trop_casse","Trop de seances cassees — recup cette semaine",""),IF(L61="affutage","Affutage : plus de max, allure de course",""),IF(M61="tester_A","Retest A (T50+T100) apres une seance facile",""),IF(M61="tester_B","Retest B (T200+T400) a frais",""),IF(M61="tester_A_et_B","Retest A cette sem, B la suivante",""),IF(M61="attendre_fin_deload","Retest apres le deload, pas pendant",""),IF(M61="pas_maintenant","Pas de test a fond",""),IF(AND(L61="",M61=""),"Charge OK — semaine normale","")))</f>
        <v/>
      </c>
      <c r="O61" s="13">
        <f>IF($A61="","",SUMIFS(tblSeances[volume_m],tblSeances[id_nageur],$A61,tblSeances[lundi],$B61-7,tblSeances[faite],"oui"))</f>
        <v/>
      </c>
      <c r="P61" s="16">
        <f>IF($A61="","",IFERROR(AVERAGEIFS(tblSeances[rpe],tblSeances[id_nageur],$A61,tblSeances[lundi],$B61-7,tblSeances[faite],"oui"),""))</f>
        <v/>
      </c>
      <c r="Q61" s="13">
        <f>IF($A61="","",COUNTIFS(tblSeances[id_nageur],$A61,tblSeances[lundi],$B61,tblSeances[qualite],"casse"))</f>
        <v/>
      </c>
      <c r="R61" s="13">
        <f>IF($A61="","",IFERROR(INDEX(tblNageurs[seances_sem],MATCH($A61,tblNageurs[id],0)),3))</f>
        <v/>
      </c>
    </row>
    <row r="62" ht="28" customHeight="1">
      <c r="A62" s="34" t="n"/>
      <c r="B62" s="35" t="n"/>
      <c r="C62" s="20">
        <f>IF($A62="","",COUNTIFS(tblSeances[id_nageur],$A62,tblSeances[lundi],$B62,tblSeances[faite],"oui"))</f>
        <v/>
      </c>
      <c r="D62" s="20">
        <f>IF($A62="","",SUMIFS(tblSeances[volume_m],tblSeances[id_nageur],$A62,tblSeances[lundi],$B62,tblSeances[faite],"oui"))</f>
        <v/>
      </c>
      <c r="E62" s="23">
        <f>IF($A62="","",IFERROR(AVERAGEIFS(tblSeances[rpe],tblSeances[id_nageur],$A62,tblSeances[lundi],$B62,tblSeances[faite],"oui"),""))</f>
        <v/>
      </c>
      <c r="F62" s="24">
        <f>IF(OR($A62="",O62="",O62=0),"", (D62-O62)/O62)</f>
        <v/>
      </c>
      <c r="G62" s="20">
        <f>IF($A62="","",IFERROR(INDEX(FILTER(tblSeances[type_semaine],(tblSeances[id_nageur]=$A62)*(tblSeances[lundi]=$B62)*(tblSeances[type_semaine]&lt;&gt;"")),1),IF(AND(O62&gt;0,D62&lt;=0.7*O62),"allegee","normale")))</f>
        <v/>
      </c>
      <c r="H62" s="23">
        <f>IF($A62="","",IFERROR(LET(d,MAXIFS(tblSeances[lundi],tblSeances[id_nageur],$A62,tblSeances[type_semaine],"allegee"),IF(d=0,"",($B62-d)/7)),""))</f>
        <v/>
      </c>
      <c r="I62" s="23">
        <f>IF($A62="","",IFERROR(LET(d,MAXIFS(tblTests[date],tblTests[id_nageur],$A62,tblTests[protocole],"T100",tblTests[valide],"oui"),IF(d=0,"",($B62-d)/7)),""))</f>
        <v/>
      </c>
      <c r="J62" s="23">
        <f>IF($A62="","",IFERROR(LET(d,MAXIFS(tblTests[date],tblTests[id_nageur],$A62,tblTests[protocole],"T400",tblTests[valide],"oui"),IF(d=0,"",($B62-d)/7)),""))</f>
        <v/>
      </c>
      <c r="K62" s="23">
        <f>IF($A62="","",IFERROR((XLOOKUP($A62,tblObjectifs[cle_dashboard],tblObjectifs[date_objectif])-$B62)/7,""))</f>
        <v/>
      </c>
      <c r="L62" s="20">
        <f>IF($A62="","",IFS(C62&lt;=1,"",AND(K62&lt;&gt;"",K62&lt;=3),"affutage",G62="allegee","en_cours",AND(H62&lt;&gt;"",H62&gt;=IF(R62&lt;=2,5,3),C62&gt;=IF(R62&lt;=2,2,3)),"due",AND(F62&lt;&gt;"",F62&gt;0.1),"volume_+10%",AND(E62&lt;&gt;"",E62&gt;=8,P62&lt;&gt;"",P62&gt;=8),"rpe_2sem",Q62&gt;=2,"trop_casse",TRUE,""))</f>
        <v/>
      </c>
      <c r="M62" s="20">
        <f>IF($A62="","",IFS(AND(K62&lt;&gt;"",K62&lt;=3),"pas_maintenant",G62="allegee","attendre_fin_deload",AND(E62&lt;&gt;"",E62&gt;=8),"pas_maintenant",AND(I62&lt;&gt;"",I62&gt;=5,J62&lt;&gt;"",J62&gt;=7),"tester_A_et_B",AND(I62&lt;&gt;"",I62&gt;=5),"tester_A",AND(J62&lt;&gt;"",J62&gt;=7),"tester_B",TRUE,""))</f>
        <v/>
      </c>
      <c r="N62" s="22">
        <f>IF($A62="","",TEXTJOIN(" · ",TRUE,IF(L62="due","Deload cette semaine (−30% vol, RPE≤6, pas de max)",""),IF(L62="en_cours","Deload en cours — garder le leger",""),IF(L62="volume_+10%","Volume +10% vs S-1 — alleger S+1",""),IF(L62="rpe_2sem","RPE eleve 2 sem — alleger maintenant",""),IF(L62="trop_casse","Trop de seances cassees — recup cette semaine",""),IF(L62="affutage","Affutage : plus de max, allure de course",""),IF(M62="tester_A","Retest A (T50+T100) apres une seance facile",""),IF(M62="tester_B","Retest B (T200+T400) a frais",""),IF(M62="tester_A_et_B","Retest A cette sem, B la suivante",""),IF(M62="attendre_fin_deload","Retest apres le deload, pas pendant",""),IF(M62="pas_maintenant","Pas de test a fond",""),IF(AND(L62="",M62=""),"Charge OK — semaine normale","")))</f>
        <v/>
      </c>
      <c r="O62" s="20">
        <f>IF($A62="","",SUMIFS(tblSeances[volume_m],tblSeances[id_nageur],$A62,tblSeances[lundi],$B62-7,tblSeances[faite],"oui"))</f>
        <v/>
      </c>
      <c r="P62" s="23">
        <f>IF($A62="","",IFERROR(AVERAGEIFS(tblSeances[rpe],tblSeances[id_nageur],$A62,tblSeances[lundi],$B62-7,tblSeances[faite],"oui"),""))</f>
        <v/>
      </c>
      <c r="Q62" s="20">
        <f>IF($A62="","",COUNTIFS(tblSeances[id_nageur],$A62,tblSeances[lundi],$B62,tblSeances[qualite],"casse"))</f>
        <v/>
      </c>
      <c r="R62" s="20">
        <f>IF($A62="","",IFERROR(INDEX(tblNageurs[seances_sem],MATCH($A62,tblNageurs[id],0)),3))</f>
        <v/>
      </c>
    </row>
    <row r="63" ht="28" customHeight="1">
      <c r="A63" s="34" t="n"/>
      <c r="B63" s="35" t="n"/>
      <c r="C63" s="13">
        <f>IF($A63="","",COUNTIFS(tblSeances[id_nageur],$A63,tblSeances[lundi],$B63,tblSeances[faite],"oui"))</f>
        <v/>
      </c>
      <c r="D63" s="13">
        <f>IF($A63="","",SUMIFS(tblSeances[volume_m],tblSeances[id_nageur],$A63,tblSeances[lundi],$B63,tblSeances[faite],"oui"))</f>
        <v/>
      </c>
      <c r="E63" s="16">
        <f>IF($A63="","",IFERROR(AVERAGEIFS(tblSeances[rpe],tblSeances[id_nageur],$A63,tblSeances[lundi],$B63,tblSeances[faite],"oui"),""))</f>
        <v/>
      </c>
      <c r="F63" s="17">
        <f>IF(OR($A63="",O63="",O63=0),"", (D63-O63)/O63)</f>
        <v/>
      </c>
      <c r="G63" s="13">
        <f>IF($A63="","",IFERROR(INDEX(FILTER(tblSeances[type_semaine],(tblSeances[id_nageur]=$A63)*(tblSeances[lundi]=$B63)*(tblSeances[type_semaine]&lt;&gt;"")),1),IF(AND(O63&gt;0,D63&lt;=0.7*O63),"allegee","normale")))</f>
        <v/>
      </c>
      <c r="H63" s="16">
        <f>IF($A63="","",IFERROR(LET(d,MAXIFS(tblSeances[lundi],tblSeances[id_nageur],$A63,tblSeances[type_semaine],"allegee"),IF(d=0,"",($B63-d)/7)),""))</f>
        <v/>
      </c>
      <c r="I63" s="16">
        <f>IF($A63="","",IFERROR(LET(d,MAXIFS(tblTests[date],tblTests[id_nageur],$A63,tblTests[protocole],"T100",tblTests[valide],"oui"),IF(d=0,"",($B63-d)/7)),""))</f>
        <v/>
      </c>
      <c r="J63" s="16">
        <f>IF($A63="","",IFERROR(LET(d,MAXIFS(tblTests[date],tblTests[id_nageur],$A63,tblTests[protocole],"T400",tblTests[valide],"oui"),IF(d=0,"",($B63-d)/7)),""))</f>
        <v/>
      </c>
      <c r="K63" s="16">
        <f>IF($A63="","",IFERROR((XLOOKUP($A63,tblObjectifs[cle_dashboard],tblObjectifs[date_objectif])-$B63)/7,""))</f>
        <v/>
      </c>
      <c r="L63" s="13">
        <f>IF($A63="","",IFS(C63&lt;=1,"",AND(K63&lt;&gt;"",K63&lt;=3),"affutage",G63="allegee","en_cours",AND(H63&lt;&gt;"",H63&gt;=IF(R63&lt;=2,5,3),C63&gt;=IF(R63&lt;=2,2,3)),"due",AND(F63&lt;&gt;"",F63&gt;0.1),"volume_+10%",AND(E63&lt;&gt;"",E63&gt;=8,P63&lt;&gt;"",P63&gt;=8),"rpe_2sem",Q63&gt;=2,"trop_casse",TRUE,""))</f>
        <v/>
      </c>
      <c r="M63" s="13">
        <f>IF($A63="","",IFS(AND(K63&lt;&gt;"",K63&lt;=3),"pas_maintenant",G63="allegee","attendre_fin_deload",AND(E63&lt;&gt;"",E63&gt;=8),"pas_maintenant",AND(I63&lt;&gt;"",I63&gt;=5,J63&lt;&gt;"",J63&gt;=7),"tester_A_et_B",AND(I63&lt;&gt;"",I63&gt;=5),"tester_A",AND(J63&lt;&gt;"",J63&gt;=7),"tester_B",TRUE,""))</f>
        <v/>
      </c>
      <c r="N63" s="15">
        <f>IF($A63="","",TEXTJOIN(" · ",TRUE,IF(L63="due","Deload cette semaine (−30% vol, RPE≤6, pas de max)",""),IF(L63="en_cours","Deload en cours — garder le leger",""),IF(L63="volume_+10%","Volume +10% vs S-1 — alleger S+1",""),IF(L63="rpe_2sem","RPE eleve 2 sem — alleger maintenant",""),IF(L63="trop_casse","Trop de seances cassees — recup cette semaine",""),IF(L63="affutage","Affutage : plus de max, allure de course",""),IF(M63="tester_A","Retest A (T50+T100) apres une seance facile",""),IF(M63="tester_B","Retest B (T200+T400) a frais",""),IF(M63="tester_A_et_B","Retest A cette sem, B la suivante",""),IF(M63="attendre_fin_deload","Retest apres le deload, pas pendant",""),IF(M63="pas_maintenant","Pas de test a fond",""),IF(AND(L63="",M63=""),"Charge OK — semaine normale","")))</f>
        <v/>
      </c>
      <c r="O63" s="13">
        <f>IF($A63="","",SUMIFS(tblSeances[volume_m],tblSeances[id_nageur],$A63,tblSeances[lundi],$B63-7,tblSeances[faite],"oui"))</f>
        <v/>
      </c>
      <c r="P63" s="16">
        <f>IF($A63="","",IFERROR(AVERAGEIFS(tblSeances[rpe],tblSeances[id_nageur],$A63,tblSeances[lundi],$B63-7,tblSeances[faite],"oui"),""))</f>
        <v/>
      </c>
      <c r="Q63" s="13">
        <f>IF($A63="","",COUNTIFS(tblSeances[id_nageur],$A63,tblSeances[lundi],$B63,tblSeances[qualite],"casse"))</f>
        <v/>
      </c>
      <c r="R63" s="13">
        <f>IF($A63="","",IFERROR(INDEX(tblNageurs[seances_sem],MATCH($A63,tblNageurs[id],0)),3))</f>
        <v/>
      </c>
    </row>
    <row r="64" ht="28" customHeight="1">
      <c r="A64" s="34" t="n"/>
      <c r="B64" s="35" t="n"/>
      <c r="C64" s="20">
        <f>IF($A64="","",COUNTIFS(tblSeances[id_nageur],$A64,tblSeances[lundi],$B64,tblSeances[faite],"oui"))</f>
        <v/>
      </c>
      <c r="D64" s="20">
        <f>IF($A64="","",SUMIFS(tblSeances[volume_m],tblSeances[id_nageur],$A64,tblSeances[lundi],$B64,tblSeances[faite],"oui"))</f>
        <v/>
      </c>
      <c r="E64" s="23">
        <f>IF($A64="","",IFERROR(AVERAGEIFS(tblSeances[rpe],tblSeances[id_nageur],$A64,tblSeances[lundi],$B64,tblSeances[faite],"oui"),""))</f>
        <v/>
      </c>
      <c r="F64" s="24">
        <f>IF(OR($A64="",O64="",O64=0),"", (D64-O64)/O64)</f>
        <v/>
      </c>
      <c r="G64" s="20">
        <f>IF($A64="","",IFERROR(INDEX(FILTER(tblSeances[type_semaine],(tblSeances[id_nageur]=$A64)*(tblSeances[lundi]=$B64)*(tblSeances[type_semaine]&lt;&gt;"")),1),IF(AND(O64&gt;0,D64&lt;=0.7*O64),"allegee","normale")))</f>
        <v/>
      </c>
      <c r="H64" s="23">
        <f>IF($A64="","",IFERROR(LET(d,MAXIFS(tblSeances[lundi],tblSeances[id_nageur],$A64,tblSeances[type_semaine],"allegee"),IF(d=0,"",($B64-d)/7)),""))</f>
        <v/>
      </c>
      <c r="I64" s="23">
        <f>IF($A64="","",IFERROR(LET(d,MAXIFS(tblTests[date],tblTests[id_nageur],$A64,tblTests[protocole],"T100",tblTests[valide],"oui"),IF(d=0,"",($B64-d)/7)),""))</f>
        <v/>
      </c>
      <c r="J64" s="23">
        <f>IF($A64="","",IFERROR(LET(d,MAXIFS(tblTests[date],tblTests[id_nageur],$A64,tblTests[protocole],"T400",tblTests[valide],"oui"),IF(d=0,"",($B64-d)/7)),""))</f>
        <v/>
      </c>
      <c r="K64" s="23">
        <f>IF($A64="","",IFERROR((XLOOKUP($A64,tblObjectifs[cle_dashboard],tblObjectifs[date_objectif])-$B64)/7,""))</f>
        <v/>
      </c>
      <c r="L64" s="20">
        <f>IF($A64="","",IFS(C64&lt;=1,"",AND(K64&lt;&gt;"",K64&lt;=3),"affutage",G64="allegee","en_cours",AND(H64&lt;&gt;"",H64&gt;=IF(R64&lt;=2,5,3),C64&gt;=IF(R64&lt;=2,2,3)),"due",AND(F64&lt;&gt;"",F64&gt;0.1),"volume_+10%",AND(E64&lt;&gt;"",E64&gt;=8,P64&lt;&gt;"",P64&gt;=8),"rpe_2sem",Q64&gt;=2,"trop_casse",TRUE,""))</f>
        <v/>
      </c>
      <c r="M64" s="20">
        <f>IF($A64="","",IFS(AND(K64&lt;&gt;"",K64&lt;=3),"pas_maintenant",G64="allegee","attendre_fin_deload",AND(E64&lt;&gt;"",E64&gt;=8),"pas_maintenant",AND(I64&lt;&gt;"",I64&gt;=5,J64&lt;&gt;"",J64&gt;=7),"tester_A_et_B",AND(I64&lt;&gt;"",I64&gt;=5),"tester_A",AND(J64&lt;&gt;"",J64&gt;=7),"tester_B",TRUE,""))</f>
        <v/>
      </c>
      <c r="N64" s="22">
        <f>IF($A64="","",TEXTJOIN(" · ",TRUE,IF(L64="due","Deload cette semaine (−30% vol, RPE≤6, pas de max)",""),IF(L64="en_cours","Deload en cours — garder le leger",""),IF(L64="volume_+10%","Volume +10% vs S-1 — alleger S+1",""),IF(L64="rpe_2sem","RPE eleve 2 sem — alleger maintenant",""),IF(L64="trop_casse","Trop de seances cassees — recup cette semaine",""),IF(L64="affutage","Affutage : plus de max, allure de course",""),IF(M64="tester_A","Retest A (T50+T100) apres une seance facile",""),IF(M64="tester_B","Retest B (T200+T400) a frais",""),IF(M64="tester_A_et_B","Retest A cette sem, B la suivante",""),IF(M64="attendre_fin_deload","Retest apres le deload, pas pendant",""),IF(M64="pas_maintenant","Pas de test a fond",""),IF(AND(L64="",M64=""),"Charge OK — semaine normale","")))</f>
        <v/>
      </c>
      <c r="O64" s="20">
        <f>IF($A64="","",SUMIFS(tblSeances[volume_m],tblSeances[id_nageur],$A64,tblSeances[lundi],$B64-7,tblSeances[faite],"oui"))</f>
        <v/>
      </c>
      <c r="P64" s="23">
        <f>IF($A64="","",IFERROR(AVERAGEIFS(tblSeances[rpe],tblSeances[id_nageur],$A64,tblSeances[lundi],$B64-7,tblSeances[faite],"oui"),""))</f>
        <v/>
      </c>
      <c r="Q64" s="20">
        <f>IF($A64="","",COUNTIFS(tblSeances[id_nageur],$A64,tblSeances[lundi],$B64,tblSeances[qualite],"casse"))</f>
        <v/>
      </c>
      <c r="R64" s="20">
        <f>IF($A64="","",IFERROR(INDEX(tblNageurs[seances_sem],MATCH($A64,tblNageurs[id],0)),3))</f>
        <v/>
      </c>
    </row>
    <row r="65" ht="28" customHeight="1">
      <c r="A65" s="34" t="n"/>
      <c r="B65" s="35" t="n"/>
      <c r="C65" s="13">
        <f>IF($A65="","",COUNTIFS(tblSeances[id_nageur],$A65,tblSeances[lundi],$B65,tblSeances[faite],"oui"))</f>
        <v/>
      </c>
      <c r="D65" s="13">
        <f>IF($A65="","",SUMIFS(tblSeances[volume_m],tblSeances[id_nageur],$A65,tblSeances[lundi],$B65,tblSeances[faite],"oui"))</f>
        <v/>
      </c>
      <c r="E65" s="16">
        <f>IF($A65="","",IFERROR(AVERAGEIFS(tblSeances[rpe],tblSeances[id_nageur],$A65,tblSeances[lundi],$B65,tblSeances[faite],"oui"),""))</f>
        <v/>
      </c>
      <c r="F65" s="17">
        <f>IF(OR($A65="",O65="",O65=0),"", (D65-O65)/O65)</f>
        <v/>
      </c>
      <c r="G65" s="13">
        <f>IF($A65="","",IFERROR(INDEX(FILTER(tblSeances[type_semaine],(tblSeances[id_nageur]=$A65)*(tblSeances[lundi]=$B65)*(tblSeances[type_semaine]&lt;&gt;"")),1),IF(AND(O65&gt;0,D65&lt;=0.7*O65),"allegee","normale")))</f>
        <v/>
      </c>
      <c r="H65" s="16">
        <f>IF($A65="","",IFERROR(LET(d,MAXIFS(tblSeances[lundi],tblSeances[id_nageur],$A65,tblSeances[type_semaine],"allegee"),IF(d=0,"",($B65-d)/7)),""))</f>
        <v/>
      </c>
      <c r="I65" s="16">
        <f>IF($A65="","",IFERROR(LET(d,MAXIFS(tblTests[date],tblTests[id_nageur],$A65,tblTests[protocole],"T100",tblTests[valide],"oui"),IF(d=0,"",($B65-d)/7)),""))</f>
        <v/>
      </c>
      <c r="J65" s="16">
        <f>IF($A65="","",IFERROR(LET(d,MAXIFS(tblTests[date],tblTests[id_nageur],$A65,tblTests[protocole],"T400",tblTests[valide],"oui"),IF(d=0,"",($B65-d)/7)),""))</f>
        <v/>
      </c>
      <c r="K65" s="16">
        <f>IF($A65="","",IFERROR((XLOOKUP($A65,tblObjectifs[cle_dashboard],tblObjectifs[date_objectif])-$B65)/7,""))</f>
        <v/>
      </c>
      <c r="L65" s="13">
        <f>IF($A65="","",IFS(C65&lt;=1,"",AND(K65&lt;&gt;"",K65&lt;=3),"affutage",G65="allegee","en_cours",AND(H65&lt;&gt;"",H65&gt;=IF(R65&lt;=2,5,3),C65&gt;=IF(R65&lt;=2,2,3)),"due",AND(F65&lt;&gt;"",F65&gt;0.1),"volume_+10%",AND(E65&lt;&gt;"",E65&gt;=8,P65&lt;&gt;"",P65&gt;=8),"rpe_2sem",Q65&gt;=2,"trop_casse",TRUE,""))</f>
        <v/>
      </c>
      <c r="M65" s="13">
        <f>IF($A65="","",IFS(AND(K65&lt;&gt;"",K65&lt;=3),"pas_maintenant",G65="allegee","attendre_fin_deload",AND(E65&lt;&gt;"",E65&gt;=8),"pas_maintenant",AND(I65&lt;&gt;"",I65&gt;=5,J65&lt;&gt;"",J65&gt;=7),"tester_A_et_B",AND(I65&lt;&gt;"",I65&gt;=5),"tester_A",AND(J65&lt;&gt;"",J65&gt;=7),"tester_B",TRUE,""))</f>
        <v/>
      </c>
      <c r="N65" s="15">
        <f>IF($A65="","",TEXTJOIN(" · ",TRUE,IF(L65="due","Deload cette semaine (−30% vol, RPE≤6, pas de max)",""),IF(L65="en_cours","Deload en cours — garder le leger",""),IF(L65="volume_+10%","Volume +10% vs S-1 — alleger S+1",""),IF(L65="rpe_2sem","RPE eleve 2 sem — alleger maintenant",""),IF(L65="trop_casse","Trop de seances cassees — recup cette semaine",""),IF(L65="affutage","Affutage : plus de max, allure de course",""),IF(M65="tester_A","Retest A (T50+T100) apres une seance facile",""),IF(M65="tester_B","Retest B (T200+T400) a frais",""),IF(M65="tester_A_et_B","Retest A cette sem, B la suivante",""),IF(M65="attendre_fin_deload","Retest apres le deload, pas pendant",""),IF(M65="pas_maintenant","Pas de test a fond",""),IF(AND(L65="",M65=""),"Charge OK — semaine normale","")))</f>
        <v/>
      </c>
      <c r="O65" s="13">
        <f>IF($A65="","",SUMIFS(tblSeances[volume_m],tblSeances[id_nageur],$A65,tblSeances[lundi],$B65-7,tblSeances[faite],"oui"))</f>
        <v/>
      </c>
      <c r="P65" s="16">
        <f>IF($A65="","",IFERROR(AVERAGEIFS(tblSeances[rpe],tblSeances[id_nageur],$A65,tblSeances[lundi],$B65-7,tblSeances[faite],"oui"),""))</f>
        <v/>
      </c>
      <c r="Q65" s="13">
        <f>IF($A65="","",COUNTIFS(tblSeances[id_nageur],$A65,tblSeances[lundi],$B65,tblSeances[qualite],"casse"))</f>
        <v/>
      </c>
      <c r="R65" s="13">
        <f>IF($A65="","",IFERROR(INDEX(tblNageurs[seances_sem],MATCH($A65,tblNageurs[id],0)),3))</f>
        <v/>
      </c>
    </row>
    <row r="66" ht="28" customHeight="1">
      <c r="A66" s="34" t="n"/>
      <c r="B66" s="35" t="n"/>
      <c r="C66" s="20">
        <f>IF($A66="","",COUNTIFS(tblSeances[id_nageur],$A66,tblSeances[lundi],$B66,tblSeances[faite],"oui"))</f>
        <v/>
      </c>
      <c r="D66" s="20">
        <f>IF($A66="","",SUMIFS(tblSeances[volume_m],tblSeances[id_nageur],$A66,tblSeances[lundi],$B66,tblSeances[faite],"oui"))</f>
        <v/>
      </c>
      <c r="E66" s="23">
        <f>IF($A66="","",IFERROR(AVERAGEIFS(tblSeances[rpe],tblSeances[id_nageur],$A66,tblSeances[lundi],$B66,tblSeances[faite],"oui"),""))</f>
        <v/>
      </c>
      <c r="F66" s="24">
        <f>IF(OR($A66="",O66="",O66=0),"", (D66-O66)/O66)</f>
        <v/>
      </c>
      <c r="G66" s="20">
        <f>IF($A66="","",IFERROR(INDEX(FILTER(tblSeances[type_semaine],(tblSeances[id_nageur]=$A66)*(tblSeances[lundi]=$B66)*(tblSeances[type_semaine]&lt;&gt;"")),1),IF(AND(O66&gt;0,D66&lt;=0.7*O66),"allegee","normale")))</f>
        <v/>
      </c>
      <c r="H66" s="23">
        <f>IF($A66="","",IFERROR(LET(d,MAXIFS(tblSeances[lundi],tblSeances[id_nageur],$A66,tblSeances[type_semaine],"allegee"),IF(d=0,"",($B66-d)/7)),""))</f>
        <v/>
      </c>
      <c r="I66" s="23">
        <f>IF($A66="","",IFERROR(LET(d,MAXIFS(tblTests[date],tblTests[id_nageur],$A66,tblTests[protocole],"T100",tblTests[valide],"oui"),IF(d=0,"",($B66-d)/7)),""))</f>
        <v/>
      </c>
      <c r="J66" s="23">
        <f>IF($A66="","",IFERROR(LET(d,MAXIFS(tblTests[date],tblTests[id_nageur],$A66,tblTests[protocole],"T400",tblTests[valide],"oui"),IF(d=0,"",($B66-d)/7)),""))</f>
        <v/>
      </c>
      <c r="K66" s="23">
        <f>IF($A66="","",IFERROR((XLOOKUP($A66,tblObjectifs[cle_dashboard],tblObjectifs[date_objectif])-$B66)/7,""))</f>
        <v/>
      </c>
      <c r="L66" s="20">
        <f>IF($A66="","",IFS(C66&lt;=1,"",AND(K66&lt;&gt;"",K66&lt;=3),"affutage",G66="allegee","en_cours",AND(H66&lt;&gt;"",H66&gt;=IF(R66&lt;=2,5,3),C66&gt;=IF(R66&lt;=2,2,3)),"due",AND(F66&lt;&gt;"",F66&gt;0.1),"volume_+10%",AND(E66&lt;&gt;"",E66&gt;=8,P66&lt;&gt;"",P66&gt;=8),"rpe_2sem",Q66&gt;=2,"trop_casse",TRUE,""))</f>
        <v/>
      </c>
      <c r="M66" s="20">
        <f>IF($A66="","",IFS(AND(K66&lt;&gt;"",K66&lt;=3),"pas_maintenant",G66="allegee","attendre_fin_deload",AND(E66&lt;&gt;"",E66&gt;=8),"pas_maintenant",AND(I66&lt;&gt;"",I66&gt;=5,J66&lt;&gt;"",J66&gt;=7),"tester_A_et_B",AND(I66&lt;&gt;"",I66&gt;=5),"tester_A",AND(J66&lt;&gt;"",J66&gt;=7),"tester_B",TRUE,""))</f>
        <v/>
      </c>
      <c r="N66" s="22">
        <f>IF($A66="","",TEXTJOIN(" · ",TRUE,IF(L66="due","Deload cette semaine (−30% vol, RPE≤6, pas de max)",""),IF(L66="en_cours","Deload en cours — garder le leger",""),IF(L66="volume_+10%","Volume +10% vs S-1 — alleger S+1",""),IF(L66="rpe_2sem","RPE eleve 2 sem — alleger maintenant",""),IF(L66="trop_casse","Trop de seances cassees — recup cette semaine",""),IF(L66="affutage","Affutage : plus de max, allure de course",""),IF(M66="tester_A","Retest A (T50+T100) apres une seance facile",""),IF(M66="tester_B","Retest B (T200+T400) a frais",""),IF(M66="tester_A_et_B","Retest A cette sem, B la suivante",""),IF(M66="attendre_fin_deload","Retest apres le deload, pas pendant",""),IF(M66="pas_maintenant","Pas de test a fond",""),IF(AND(L66="",M66=""),"Charge OK — semaine normale","")))</f>
        <v/>
      </c>
      <c r="O66" s="20">
        <f>IF($A66="","",SUMIFS(tblSeances[volume_m],tblSeances[id_nageur],$A66,tblSeances[lundi],$B66-7,tblSeances[faite],"oui"))</f>
        <v/>
      </c>
      <c r="P66" s="23">
        <f>IF($A66="","",IFERROR(AVERAGEIFS(tblSeances[rpe],tblSeances[id_nageur],$A66,tblSeances[lundi],$B66-7,tblSeances[faite],"oui"),""))</f>
        <v/>
      </c>
      <c r="Q66" s="20">
        <f>IF($A66="","",COUNTIFS(tblSeances[id_nageur],$A66,tblSeances[lundi],$B66,tblSeances[qualite],"casse"))</f>
        <v/>
      </c>
      <c r="R66" s="20">
        <f>IF($A66="","",IFERROR(INDEX(tblNageurs[seances_sem],MATCH($A66,tblNageurs[id],0)),3))</f>
        <v/>
      </c>
    </row>
    <row r="67" ht="28" customHeight="1">
      <c r="A67" s="34" t="n"/>
      <c r="B67" s="35" t="n"/>
      <c r="C67" s="13">
        <f>IF($A67="","",COUNTIFS(tblSeances[id_nageur],$A67,tblSeances[lundi],$B67,tblSeances[faite],"oui"))</f>
        <v/>
      </c>
      <c r="D67" s="13">
        <f>IF($A67="","",SUMIFS(tblSeances[volume_m],tblSeances[id_nageur],$A67,tblSeances[lundi],$B67,tblSeances[faite],"oui"))</f>
        <v/>
      </c>
      <c r="E67" s="16">
        <f>IF($A67="","",IFERROR(AVERAGEIFS(tblSeances[rpe],tblSeances[id_nageur],$A67,tblSeances[lundi],$B67,tblSeances[faite],"oui"),""))</f>
        <v/>
      </c>
      <c r="F67" s="17">
        <f>IF(OR($A67="",O67="",O67=0),"", (D67-O67)/O67)</f>
        <v/>
      </c>
      <c r="G67" s="13">
        <f>IF($A67="","",IFERROR(INDEX(FILTER(tblSeances[type_semaine],(tblSeances[id_nageur]=$A67)*(tblSeances[lundi]=$B67)*(tblSeances[type_semaine]&lt;&gt;"")),1),IF(AND(O67&gt;0,D67&lt;=0.7*O67),"allegee","normale")))</f>
        <v/>
      </c>
      <c r="H67" s="16">
        <f>IF($A67="","",IFERROR(LET(d,MAXIFS(tblSeances[lundi],tblSeances[id_nageur],$A67,tblSeances[type_semaine],"allegee"),IF(d=0,"",($B67-d)/7)),""))</f>
        <v/>
      </c>
      <c r="I67" s="16">
        <f>IF($A67="","",IFERROR(LET(d,MAXIFS(tblTests[date],tblTests[id_nageur],$A67,tblTests[protocole],"T100",tblTests[valide],"oui"),IF(d=0,"",($B67-d)/7)),""))</f>
        <v/>
      </c>
      <c r="J67" s="16">
        <f>IF($A67="","",IFERROR(LET(d,MAXIFS(tblTests[date],tblTests[id_nageur],$A67,tblTests[protocole],"T400",tblTests[valide],"oui"),IF(d=0,"",($B67-d)/7)),""))</f>
        <v/>
      </c>
      <c r="K67" s="16">
        <f>IF($A67="","",IFERROR((XLOOKUP($A67,tblObjectifs[cle_dashboard],tblObjectifs[date_objectif])-$B67)/7,""))</f>
        <v/>
      </c>
      <c r="L67" s="13">
        <f>IF($A67="","",IFS(C67&lt;=1,"",AND(K67&lt;&gt;"",K67&lt;=3),"affutage",G67="allegee","en_cours",AND(H67&lt;&gt;"",H67&gt;=IF(R67&lt;=2,5,3),C67&gt;=IF(R67&lt;=2,2,3)),"due",AND(F67&lt;&gt;"",F67&gt;0.1),"volume_+10%",AND(E67&lt;&gt;"",E67&gt;=8,P67&lt;&gt;"",P67&gt;=8),"rpe_2sem",Q67&gt;=2,"trop_casse",TRUE,""))</f>
        <v/>
      </c>
      <c r="M67" s="13">
        <f>IF($A67="","",IFS(AND(K67&lt;&gt;"",K67&lt;=3),"pas_maintenant",G67="allegee","attendre_fin_deload",AND(E67&lt;&gt;"",E67&gt;=8),"pas_maintenant",AND(I67&lt;&gt;"",I67&gt;=5,J67&lt;&gt;"",J67&gt;=7),"tester_A_et_B",AND(I67&lt;&gt;"",I67&gt;=5),"tester_A",AND(J67&lt;&gt;"",J67&gt;=7),"tester_B",TRUE,""))</f>
        <v/>
      </c>
      <c r="N67" s="15">
        <f>IF($A67="","",TEXTJOIN(" · ",TRUE,IF(L67="due","Deload cette semaine (−30% vol, RPE≤6, pas de max)",""),IF(L67="en_cours","Deload en cours — garder le leger",""),IF(L67="volume_+10%","Volume +10% vs S-1 — alleger S+1",""),IF(L67="rpe_2sem","RPE eleve 2 sem — alleger maintenant",""),IF(L67="trop_casse","Trop de seances cassees — recup cette semaine",""),IF(L67="affutage","Affutage : plus de max, allure de course",""),IF(M67="tester_A","Retest A (T50+T100) apres une seance facile",""),IF(M67="tester_B","Retest B (T200+T400) a frais",""),IF(M67="tester_A_et_B","Retest A cette sem, B la suivante",""),IF(M67="attendre_fin_deload","Retest apres le deload, pas pendant",""),IF(M67="pas_maintenant","Pas de test a fond",""),IF(AND(L67="",M67=""),"Charge OK — semaine normale","")))</f>
        <v/>
      </c>
      <c r="O67" s="13">
        <f>IF($A67="","",SUMIFS(tblSeances[volume_m],tblSeances[id_nageur],$A67,tblSeances[lundi],$B67-7,tblSeances[faite],"oui"))</f>
        <v/>
      </c>
      <c r="P67" s="16">
        <f>IF($A67="","",IFERROR(AVERAGEIFS(tblSeances[rpe],tblSeances[id_nageur],$A67,tblSeances[lundi],$B67-7,tblSeances[faite],"oui"),""))</f>
        <v/>
      </c>
      <c r="Q67" s="13">
        <f>IF($A67="","",COUNTIFS(tblSeances[id_nageur],$A67,tblSeances[lundi],$B67,tblSeances[qualite],"casse"))</f>
        <v/>
      </c>
      <c r="R67" s="13">
        <f>IF($A67="","",IFERROR(INDEX(tblNageurs[seances_sem],MATCH($A67,tblNageurs[id],0)),3))</f>
        <v/>
      </c>
    </row>
    <row r="68" ht="28" customHeight="1">
      <c r="A68" s="34" t="n"/>
      <c r="B68" s="35" t="n"/>
      <c r="C68" s="20">
        <f>IF($A68="","",COUNTIFS(tblSeances[id_nageur],$A68,tblSeances[lundi],$B68,tblSeances[faite],"oui"))</f>
        <v/>
      </c>
      <c r="D68" s="20">
        <f>IF($A68="","",SUMIFS(tblSeances[volume_m],tblSeances[id_nageur],$A68,tblSeances[lundi],$B68,tblSeances[faite],"oui"))</f>
        <v/>
      </c>
      <c r="E68" s="23">
        <f>IF($A68="","",IFERROR(AVERAGEIFS(tblSeances[rpe],tblSeances[id_nageur],$A68,tblSeances[lundi],$B68,tblSeances[faite],"oui"),""))</f>
        <v/>
      </c>
      <c r="F68" s="24">
        <f>IF(OR($A68="",O68="",O68=0),"", (D68-O68)/O68)</f>
        <v/>
      </c>
      <c r="G68" s="20">
        <f>IF($A68="","",IFERROR(INDEX(FILTER(tblSeances[type_semaine],(tblSeances[id_nageur]=$A68)*(tblSeances[lundi]=$B68)*(tblSeances[type_semaine]&lt;&gt;"")),1),IF(AND(O68&gt;0,D68&lt;=0.7*O68),"allegee","normale")))</f>
        <v/>
      </c>
      <c r="H68" s="23">
        <f>IF($A68="","",IFERROR(LET(d,MAXIFS(tblSeances[lundi],tblSeances[id_nageur],$A68,tblSeances[type_semaine],"allegee"),IF(d=0,"",($B68-d)/7)),""))</f>
        <v/>
      </c>
      <c r="I68" s="23">
        <f>IF($A68="","",IFERROR(LET(d,MAXIFS(tblTests[date],tblTests[id_nageur],$A68,tblTests[protocole],"T100",tblTests[valide],"oui"),IF(d=0,"",($B68-d)/7)),""))</f>
        <v/>
      </c>
      <c r="J68" s="23">
        <f>IF($A68="","",IFERROR(LET(d,MAXIFS(tblTests[date],tblTests[id_nageur],$A68,tblTests[protocole],"T400",tblTests[valide],"oui"),IF(d=0,"",($B68-d)/7)),""))</f>
        <v/>
      </c>
      <c r="K68" s="23">
        <f>IF($A68="","",IFERROR((XLOOKUP($A68,tblObjectifs[cle_dashboard],tblObjectifs[date_objectif])-$B68)/7,""))</f>
        <v/>
      </c>
      <c r="L68" s="20">
        <f>IF($A68="","",IFS(C68&lt;=1,"",AND(K68&lt;&gt;"",K68&lt;=3),"affutage",G68="allegee","en_cours",AND(H68&lt;&gt;"",H68&gt;=IF(R68&lt;=2,5,3),C68&gt;=IF(R68&lt;=2,2,3)),"due",AND(F68&lt;&gt;"",F68&gt;0.1),"volume_+10%",AND(E68&lt;&gt;"",E68&gt;=8,P68&lt;&gt;"",P68&gt;=8),"rpe_2sem",Q68&gt;=2,"trop_casse",TRUE,""))</f>
        <v/>
      </c>
      <c r="M68" s="20">
        <f>IF($A68="","",IFS(AND(K68&lt;&gt;"",K68&lt;=3),"pas_maintenant",G68="allegee","attendre_fin_deload",AND(E68&lt;&gt;"",E68&gt;=8),"pas_maintenant",AND(I68&lt;&gt;"",I68&gt;=5,J68&lt;&gt;"",J68&gt;=7),"tester_A_et_B",AND(I68&lt;&gt;"",I68&gt;=5),"tester_A",AND(J68&lt;&gt;"",J68&gt;=7),"tester_B",TRUE,""))</f>
        <v/>
      </c>
      <c r="N68" s="22">
        <f>IF($A68="","",TEXTJOIN(" · ",TRUE,IF(L68="due","Deload cette semaine (−30% vol, RPE≤6, pas de max)",""),IF(L68="en_cours","Deload en cours — garder le leger",""),IF(L68="volume_+10%","Volume +10% vs S-1 — alleger S+1",""),IF(L68="rpe_2sem","RPE eleve 2 sem — alleger maintenant",""),IF(L68="trop_casse","Trop de seances cassees — recup cette semaine",""),IF(L68="affutage","Affutage : plus de max, allure de course",""),IF(M68="tester_A","Retest A (T50+T100) apres une seance facile",""),IF(M68="tester_B","Retest B (T200+T400) a frais",""),IF(M68="tester_A_et_B","Retest A cette sem, B la suivante",""),IF(M68="attendre_fin_deload","Retest apres le deload, pas pendant",""),IF(M68="pas_maintenant","Pas de test a fond",""),IF(AND(L68="",M68=""),"Charge OK — semaine normale","")))</f>
        <v/>
      </c>
      <c r="O68" s="20">
        <f>IF($A68="","",SUMIFS(tblSeances[volume_m],tblSeances[id_nageur],$A68,tblSeances[lundi],$B68-7,tblSeances[faite],"oui"))</f>
        <v/>
      </c>
      <c r="P68" s="23">
        <f>IF($A68="","",IFERROR(AVERAGEIFS(tblSeances[rpe],tblSeances[id_nageur],$A68,tblSeances[lundi],$B68-7,tblSeances[faite],"oui"),""))</f>
        <v/>
      </c>
      <c r="Q68" s="20">
        <f>IF($A68="","",COUNTIFS(tblSeances[id_nageur],$A68,tblSeances[lundi],$B68,tblSeances[qualite],"casse"))</f>
        <v/>
      </c>
      <c r="R68" s="20">
        <f>IF($A68="","",IFERROR(INDEX(tblNageurs[seances_sem],MATCH($A68,tblNageurs[id],0)),3))</f>
        <v/>
      </c>
    </row>
    <row r="69" ht="28" customHeight="1">
      <c r="A69" s="34" t="n"/>
      <c r="B69" s="35" t="n"/>
      <c r="C69" s="13">
        <f>IF($A69="","",COUNTIFS(tblSeances[id_nageur],$A69,tblSeances[lundi],$B69,tblSeances[faite],"oui"))</f>
        <v/>
      </c>
      <c r="D69" s="13">
        <f>IF($A69="","",SUMIFS(tblSeances[volume_m],tblSeances[id_nageur],$A69,tblSeances[lundi],$B69,tblSeances[faite],"oui"))</f>
        <v/>
      </c>
      <c r="E69" s="16">
        <f>IF($A69="","",IFERROR(AVERAGEIFS(tblSeances[rpe],tblSeances[id_nageur],$A69,tblSeances[lundi],$B69,tblSeances[faite],"oui"),""))</f>
        <v/>
      </c>
      <c r="F69" s="17">
        <f>IF(OR($A69="",O69="",O69=0),"", (D69-O69)/O69)</f>
        <v/>
      </c>
      <c r="G69" s="13">
        <f>IF($A69="","",IFERROR(INDEX(FILTER(tblSeances[type_semaine],(tblSeances[id_nageur]=$A69)*(tblSeances[lundi]=$B69)*(tblSeances[type_semaine]&lt;&gt;"")),1),IF(AND(O69&gt;0,D69&lt;=0.7*O69),"allegee","normale")))</f>
        <v/>
      </c>
      <c r="H69" s="16">
        <f>IF($A69="","",IFERROR(LET(d,MAXIFS(tblSeances[lundi],tblSeances[id_nageur],$A69,tblSeances[type_semaine],"allegee"),IF(d=0,"",($B69-d)/7)),""))</f>
        <v/>
      </c>
      <c r="I69" s="16">
        <f>IF($A69="","",IFERROR(LET(d,MAXIFS(tblTests[date],tblTests[id_nageur],$A69,tblTests[protocole],"T100",tblTests[valide],"oui"),IF(d=0,"",($B69-d)/7)),""))</f>
        <v/>
      </c>
      <c r="J69" s="16">
        <f>IF($A69="","",IFERROR(LET(d,MAXIFS(tblTests[date],tblTests[id_nageur],$A69,tblTests[protocole],"T400",tblTests[valide],"oui"),IF(d=0,"",($B69-d)/7)),""))</f>
        <v/>
      </c>
      <c r="K69" s="16">
        <f>IF($A69="","",IFERROR((XLOOKUP($A69,tblObjectifs[cle_dashboard],tblObjectifs[date_objectif])-$B69)/7,""))</f>
        <v/>
      </c>
      <c r="L69" s="13">
        <f>IF($A69="","",IFS(C69&lt;=1,"",AND(K69&lt;&gt;"",K69&lt;=3),"affutage",G69="allegee","en_cours",AND(H69&lt;&gt;"",H69&gt;=IF(R69&lt;=2,5,3),C69&gt;=IF(R69&lt;=2,2,3)),"due",AND(F69&lt;&gt;"",F69&gt;0.1),"volume_+10%",AND(E69&lt;&gt;"",E69&gt;=8,P69&lt;&gt;"",P69&gt;=8),"rpe_2sem",Q69&gt;=2,"trop_casse",TRUE,""))</f>
        <v/>
      </c>
      <c r="M69" s="13">
        <f>IF($A69="","",IFS(AND(K69&lt;&gt;"",K69&lt;=3),"pas_maintenant",G69="allegee","attendre_fin_deload",AND(E69&lt;&gt;"",E69&gt;=8),"pas_maintenant",AND(I69&lt;&gt;"",I69&gt;=5,J69&lt;&gt;"",J69&gt;=7),"tester_A_et_B",AND(I69&lt;&gt;"",I69&gt;=5),"tester_A",AND(J69&lt;&gt;"",J69&gt;=7),"tester_B",TRUE,""))</f>
        <v/>
      </c>
      <c r="N69" s="15">
        <f>IF($A69="","",TEXTJOIN(" · ",TRUE,IF(L69="due","Deload cette semaine (−30% vol, RPE≤6, pas de max)",""),IF(L69="en_cours","Deload en cours — garder le leger",""),IF(L69="volume_+10%","Volume +10% vs S-1 — alleger S+1",""),IF(L69="rpe_2sem","RPE eleve 2 sem — alleger maintenant",""),IF(L69="trop_casse","Trop de seances cassees — recup cette semaine",""),IF(L69="affutage","Affutage : plus de max, allure de course",""),IF(M69="tester_A","Retest A (T50+T100) apres une seance facile",""),IF(M69="tester_B","Retest B (T200+T400) a frais",""),IF(M69="tester_A_et_B","Retest A cette sem, B la suivante",""),IF(M69="attendre_fin_deload","Retest apres le deload, pas pendant",""),IF(M69="pas_maintenant","Pas de test a fond",""),IF(AND(L69="",M69=""),"Charge OK — semaine normale","")))</f>
        <v/>
      </c>
      <c r="O69" s="13">
        <f>IF($A69="","",SUMIFS(tblSeances[volume_m],tblSeances[id_nageur],$A69,tblSeances[lundi],$B69-7,tblSeances[faite],"oui"))</f>
        <v/>
      </c>
      <c r="P69" s="16">
        <f>IF($A69="","",IFERROR(AVERAGEIFS(tblSeances[rpe],tblSeances[id_nageur],$A69,tblSeances[lundi],$B69-7,tblSeances[faite],"oui"),""))</f>
        <v/>
      </c>
      <c r="Q69" s="13">
        <f>IF($A69="","",COUNTIFS(tblSeances[id_nageur],$A69,tblSeances[lundi],$B69,tblSeances[qualite],"casse"))</f>
        <v/>
      </c>
      <c r="R69" s="13">
        <f>IF($A69="","",IFERROR(INDEX(tblNageurs[seances_sem],MATCH($A69,tblNageurs[id],0)),3))</f>
        <v/>
      </c>
    </row>
    <row r="70" ht="28" customHeight="1">
      <c r="A70" s="34" t="n"/>
      <c r="B70" s="35" t="n"/>
      <c r="C70" s="20">
        <f>IF($A70="","",COUNTIFS(tblSeances[id_nageur],$A70,tblSeances[lundi],$B70,tblSeances[faite],"oui"))</f>
        <v/>
      </c>
      <c r="D70" s="20">
        <f>IF($A70="","",SUMIFS(tblSeances[volume_m],tblSeances[id_nageur],$A70,tblSeances[lundi],$B70,tblSeances[faite],"oui"))</f>
        <v/>
      </c>
      <c r="E70" s="23">
        <f>IF($A70="","",IFERROR(AVERAGEIFS(tblSeances[rpe],tblSeances[id_nageur],$A70,tblSeances[lundi],$B70,tblSeances[faite],"oui"),""))</f>
        <v/>
      </c>
      <c r="F70" s="24">
        <f>IF(OR($A70="",O70="",O70=0),"", (D70-O70)/O70)</f>
        <v/>
      </c>
      <c r="G70" s="20">
        <f>IF($A70="","",IFERROR(INDEX(FILTER(tblSeances[type_semaine],(tblSeances[id_nageur]=$A70)*(tblSeances[lundi]=$B70)*(tblSeances[type_semaine]&lt;&gt;"")),1),IF(AND(O70&gt;0,D70&lt;=0.7*O70),"allegee","normale")))</f>
        <v/>
      </c>
      <c r="H70" s="23">
        <f>IF($A70="","",IFERROR(LET(d,MAXIFS(tblSeances[lundi],tblSeances[id_nageur],$A70,tblSeances[type_semaine],"allegee"),IF(d=0,"",($B70-d)/7)),""))</f>
        <v/>
      </c>
      <c r="I70" s="23">
        <f>IF($A70="","",IFERROR(LET(d,MAXIFS(tblTests[date],tblTests[id_nageur],$A70,tblTests[protocole],"T100",tblTests[valide],"oui"),IF(d=0,"",($B70-d)/7)),""))</f>
        <v/>
      </c>
      <c r="J70" s="23">
        <f>IF($A70="","",IFERROR(LET(d,MAXIFS(tblTests[date],tblTests[id_nageur],$A70,tblTests[protocole],"T400",tblTests[valide],"oui"),IF(d=0,"",($B70-d)/7)),""))</f>
        <v/>
      </c>
      <c r="K70" s="23">
        <f>IF($A70="","",IFERROR((XLOOKUP($A70,tblObjectifs[cle_dashboard],tblObjectifs[date_objectif])-$B70)/7,""))</f>
        <v/>
      </c>
      <c r="L70" s="20">
        <f>IF($A70="","",IFS(C70&lt;=1,"",AND(K70&lt;&gt;"",K70&lt;=3),"affutage",G70="allegee","en_cours",AND(H70&lt;&gt;"",H70&gt;=IF(R70&lt;=2,5,3),C70&gt;=IF(R70&lt;=2,2,3)),"due",AND(F70&lt;&gt;"",F70&gt;0.1),"volume_+10%",AND(E70&lt;&gt;"",E70&gt;=8,P70&lt;&gt;"",P70&gt;=8),"rpe_2sem",Q70&gt;=2,"trop_casse",TRUE,""))</f>
        <v/>
      </c>
      <c r="M70" s="20">
        <f>IF($A70="","",IFS(AND(K70&lt;&gt;"",K70&lt;=3),"pas_maintenant",G70="allegee","attendre_fin_deload",AND(E70&lt;&gt;"",E70&gt;=8),"pas_maintenant",AND(I70&lt;&gt;"",I70&gt;=5,J70&lt;&gt;"",J70&gt;=7),"tester_A_et_B",AND(I70&lt;&gt;"",I70&gt;=5),"tester_A",AND(J70&lt;&gt;"",J70&gt;=7),"tester_B",TRUE,""))</f>
        <v/>
      </c>
      <c r="N70" s="22">
        <f>IF($A70="","",TEXTJOIN(" · ",TRUE,IF(L70="due","Deload cette semaine (−30% vol, RPE≤6, pas de max)",""),IF(L70="en_cours","Deload en cours — garder le leger",""),IF(L70="volume_+10%","Volume +10% vs S-1 — alleger S+1",""),IF(L70="rpe_2sem","RPE eleve 2 sem — alleger maintenant",""),IF(L70="trop_casse","Trop de seances cassees — recup cette semaine",""),IF(L70="affutage","Affutage : plus de max, allure de course",""),IF(M70="tester_A","Retest A (T50+T100) apres une seance facile",""),IF(M70="tester_B","Retest B (T200+T400) a frais",""),IF(M70="tester_A_et_B","Retest A cette sem, B la suivante",""),IF(M70="attendre_fin_deload","Retest apres le deload, pas pendant",""),IF(M70="pas_maintenant","Pas de test a fond",""),IF(AND(L70="",M70=""),"Charge OK — semaine normale","")))</f>
        <v/>
      </c>
      <c r="O70" s="20">
        <f>IF($A70="","",SUMIFS(tblSeances[volume_m],tblSeances[id_nageur],$A70,tblSeances[lundi],$B70-7,tblSeances[faite],"oui"))</f>
        <v/>
      </c>
      <c r="P70" s="23">
        <f>IF($A70="","",IFERROR(AVERAGEIFS(tblSeances[rpe],tblSeances[id_nageur],$A70,tblSeances[lundi],$B70-7,tblSeances[faite],"oui"),""))</f>
        <v/>
      </c>
      <c r="Q70" s="20">
        <f>IF($A70="","",COUNTIFS(tblSeances[id_nageur],$A70,tblSeances[lundi],$B70,tblSeances[qualite],"casse"))</f>
        <v/>
      </c>
      <c r="R70" s="20">
        <f>IF($A70="","",IFERROR(INDEX(tblNageurs[seances_sem],MATCH($A70,tblNageurs[id],0)),3))</f>
        <v/>
      </c>
    </row>
    <row r="71" ht="28" customHeight="1">
      <c r="A71" s="34" t="n"/>
      <c r="B71" s="35" t="n"/>
      <c r="C71" s="13">
        <f>IF($A71="","",COUNTIFS(tblSeances[id_nageur],$A71,tblSeances[lundi],$B71,tblSeances[faite],"oui"))</f>
        <v/>
      </c>
      <c r="D71" s="13">
        <f>IF($A71="","",SUMIFS(tblSeances[volume_m],tblSeances[id_nageur],$A71,tblSeances[lundi],$B71,tblSeances[faite],"oui"))</f>
        <v/>
      </c>
      <c r="E71" s="16">
        <f>IF($A71="","",IFERROR(AVERAGEIFS(tblSeances[rpe],tblSeances[id_nageur],$A71,tblSeances[lundi],$B71,tblSeances[faite],"oui"),""))</f>
        <v/>
      </c>
      <c r="F71" s="17">
        <f>IF(OR($A71="",O71="",O71=0),"", (D71-O71)/O71)</f>
        <v/>
      </c>
      <c r="G71" s="13">
        <f>IF($A71="","",IFERROR(INDEX(FILTER(tblSeances[type_semaine],(tblSeances[id_nageur]=$A71)*(tblSeances[lundi]=$B71)*(tblSeances[type_semaine]&lt;&gt;"")),1),IF(AND(O71&gt;0,D71&lt;=0.7*O71),"allegee","normale")))</f>
        <v/>
      </c>
      <c r="H71" s="16">
        <f>IF($A71="","",IFERROR(LET(d,MAXIFS(tblSeances[lundi],tblSeances[id_nageur],$A71,tblSeances[type_semaine],"allegee"),IF(d=0,"",($B71-d)/7)),""))</f>
        <v/>
      </c>
      <c r="I71" s="16">
        <f>IF($A71="","",IFERROR(LET(d,MAXIFS(tblTests[date],tblTests[id_nageur],$A71,tblTests[protocole],"T100",tblTests[valide],"oui"),IF(d=0,"",($B71-d)/7)),""))</f>
        <v/>
      </c>
      <c r="J71" s="16">
        <f>IF($A71="","",IFERROR(LET(d,MAXIFS(tblTests[date],tblTests[id_nageur],$A71,tblTests[protocole],"T400",tblTests[valide],"oui"),IF(d=0,"",($B71-d)/7)),""))</f>
        <v/>
      </c>
      <c r="K71" s="16">
        <f>IF($A71="","",IFERROR((XLOOKUP($A71,tblObjectifs[cle_dashboard],tblObjectifs[date_objectif])-$B71)/7,""))</f>
        <v/>
      </c>
      <c r="L71" s="13">
        <f>IF($A71="","",IFS(C71&lt;=1,"",AND(K71&lt;&gt;"",K71&lt;=3),"affutage",G71="allegee","en_cours",AND(H71&lt;&gt;"",H71&gt;=IF(R71&lt;=2,5,3),C71&gt;=IF(R71&lt;=2,2,3)),"due",AND(F71&lt;&gt;"",F71&gt;0.1),"volume_+10%",AND(E71&lt;&gt;"",E71&gt;=8,P71&lt;&gt;"",P71&gt;=8),"rpe_2sem",Q71&gt;=2,"trop_casse",TRUE,""))</f>
        <v/>
      </c>
      <c r="M71" s="13">
        <f>IF($A71="","",IFS(AND(K71&lt;&gt;"",K71&lt;=3),"pas_maintenant",G71="allegee","attendre_fin_deload",AND(E71&lt;&gt;"",E71&gt;=8),"pas_maintenant",AND(I71&lt;&gt;"",I71&gt;=5,J71&lt;&gt;"",J71&gt;=7),"tester_A_et_B",AND(I71&lt;&gt;"",I71&gt;=5),"tester_A",AND(J71&lt;&gt;"",J71&gt;=7),"tester_B",TRUE,""))</f>
        <v/>
      </c>
      <c r="N71" s="15">
        <f>IF($A71="","",TEXTJOIN(" · ",TRUE,IF(L71="due","Deload cette semaine (−30% vol, RPE≤6, pas de max)",""),IF(L71="en_cours","Deload en cours — garder le leger",""),IF(L71="volume_+10%","Volume +10% vs S-1 — alleger S+1",""),IF(L71="rpe_2sem","RPE eleve 2 sem — alleger maintenant",""),IF(L71="trop_casse","Trop de seances cassees — recup cette semaine",""),IF(L71="affutage","Affutage : plus de max, allure de course",""),IF(M71="tester_A","Retest A (T50+T100) apres une seance facile",""),IF(M71="tester_B","Retest B (T200+T400) a frais",""),IF(M71="tester_A_et_B","Retest A cette sem, B la suivante",""),IF(M71="attendre_fin_deload","Retest apres le deload, pas pendant",""),IF(M71="pas_maintenant","Pas de test a fond",""),IF(AND(L71="",M71=""),"Charge OK — semaine normale","")))</f>
        <v/>
      </c>
      <c r="O71" s="13">
        <f>IF($A71="","",SUMIFS(tblSeances[volume_m],tblSeances[id_nageur],$A71,tblSeances[lundi],$B71-7,tblSeances[faite],"oui"))</f>
        <v/>
      </c>
      <c r="P71" s="16">
        <f>IF($A71="","",IFERROR(AVERAGEIFS(tblSeances[rpe],tblSeances[id_nageur],$A71,tblSeances[lundi],$B71-7,tblSeances[faite],"oui"),""))</f>
        <v/>
      </c>
      <c r="Q71" s="13">
        <f>IF($A71="","",COUNTIFS(tblSeances[id_nageur],$A71,tblSeances[lundi],$B71,tblSeances[qualite],"casse"))</f>
        <v/>
      </c>
      <c r="R71" s="13">
        <f>IF($A71="","",IFERROR(INDEX(tblNageurs[seances_sem],MATCH($A71,tblNageurs[id],0)),3))</f>
        <v/>
      </c>
    </row>
    <row r="72" ht="28" customHeight="1">
      <c r="A72" s="34" t="n"/>
      <c r="B72" s="35" t="n"/>
      <c r="C72" s="20">
        <f>IF($A72="","",COUNTIFS(tblSeances[id_nageur],$A72,tblSeances[lundi],$B72,tblSeances[faite],"oui"))</f>
        <v/>
      </c>
      <c r="D72" s="20">
        <f>IF($A72="","",SUMIFS(tblSeances[volume_m],tblSeances[id_nageur],$A72,tblSeances[lundi],$B72,tblSeances[faite],"oui"))</f>
        <v/>
      </c>
      <c r="E72" s="23">
        <f>IF($A72="","",IFERROR(AVERAGEIFS(tblSeances[rpe],tblSeances[id_nageur],$A72,tblSeances[lundi],$B72,tblSeances[faite],"oui"),""))</f>
        <v/>
      </c>
      <c r="F72" s="24">
        <f>IF(OR($A72="",O72="",O72=0),"", (D72-O72)/O72)</f>
        <v/>
      </c>
      <c r="G72" s="20">
        <f>IF($A72="","",IFERROR(INDEX(FILTER(tblSeances[type_semaine],(tblSeances[id_nageur]=$A72)*(tblSeances[lundi]=$B72)*(tblSeances[type_semaine]&lt;&gt;"")),1),IF(AND(O72&gt;0,D72&lt;=0.7*O72),"allegee","normale")))</f>
        <v/>
      </c>
      <c r="H72" s="23">
        <f>IF($A72="","",IFERROR(LET(d,MAXIFS(tblSeances[lundi],tblSeances[id_nageur],$A72,tblSeances[type_semaine],"allegee"),IF(d=0,"",($B72-d)/7)),""))</f>
        <v/>
      </c>
      <c r="I72" s="23">
        <f>IF($A72="","",IFERROR(LET(d,MAXIFS(tblTests[date],tblTests[id_nageur],$A72,tblTests[protocole],"T100",tblTests[valide],"oui"),IF(d=0,"",($B72-d)/7)),""))</f>
        <v/>
      </c>
      <c r="J72" s="23">
        <f>IF($A72="","",IFERROR(LET(d,MAXIFS(tblTests[date],tblTests[id_nageur],$A72,tblTests[protocole],"T400",tblTests[valide],"oui"),IF(d=0,"",($B72-d)/7)),""))</f>
        <v/>
      </c>
      <c r="K72" s="23">
        <f>IF($A72="","",IFERROR((XLOOKUP($A72,tblObjectifs[cle_dashboard],tblObjectifs[date_objectif])-$B72)/7,""))</f>
        <v/>
      </c>
      <c r="L72" s="20">
        <f>IF($A72="","",IFS(C72&lt;=1,"",AND(K72&lt;&gt;"",K72&lt;=3),"affutage",G72="allegee","en_cours",AND(H72&lt;&gt;"",H72&gt;=IF(R72&lt;=2,5,3),C72&gt;=IF(R72&lt;=2,2,3)),"due",AND(F72&lt;&gt;"",F72&gt;0.1),"volume_+10%",AND(E72&lt;&gt;"",E72&gt;=8,P72&lt;&gt;"",P72&gt;=8),"rpe_2sem",Q72&gt;=2,"trop_casse",TRUE,""))</f>
        <v/>
      </c>
      <c r="M72" s="20">
        <f>IF($A72="","",IFS(AND(K72&lt;&gt;"",K72&lt;=3),"pas_maintenant",G72="allegee","attendre_fin_deload",AND(E72&lt;&gt;"",E72&gt;=8),"pas_maintenant",AND(I72&lt;&gt;"",I72&gt;=5,J72&lt;&gt;"",J72&gt;=7),"tester_A_et_B",AND(I72&lt;&gt;"",I72&gt;=5),"tester_A",AND(J72&lt;&gt;"",J72&gt;=7),"tester_B",TRUE,""))</f>
        <v/>
      </c>
      <c r="N72" s="22">
        <f>IF($A72="","",TEXTJOIN(" · ",TRUE,IF(L72="due","Deload cette semaine (−30% vol, RPE≤6, pas de max)",""),IF(L72="en_cours","Deload en cours — garder le leger",""),IF(L72="volume_+10%","Volume +10% vs S-1 — alleger S+1",""),IF(L72="rpe_2sem","RPE eleve 2 sem — alleger maintenant",""),IF(L72="trop_casse","Trop de seances cassees — recup cette semaine",""),IF(L72="affutage","Affutage : plus de max, allure de course",""),IF(M72="tester_A","Retest A (T50+T100) apres une seance facile",""),IF(M72="tester_B","Retest B (T200+T400) a frais",""),IF(M72="tester_A_et_B","Retest A cette sem, B la suivante",""),IF(M72="attendre_fin_deload","Retest apres le deload, pas pendant",""),IF(M72="pas_maintenant","Pas de test a fond",""),IF(AND(L72="",M72=""),"Charge OK — semaine normale","")))</f>
        <v/>
      </c>
      <c r="O72" s="20">
        <f>IF($A72="","",SUMIFS(tblSeances[volume_m],tblSeances[id_nageur],$A72,tblSeances[lundi],$B72-7,tblSeances[faite],"oui"))</f>
        <v/>
      </c>
      <c r="P72" s="23">
        <f>IF($A72="","",IFERROR(AVERAGEIFS(tblSeances[rpe],tblSeances[id_nageur],$A72,tblSeances[lundi],$B72-7,tblSeances[faite],"oui"),""))</f>
        <v/>
      </c>
      <c r="Q72" s="20">
        <f>IF($A72="","",COUNTIFS(tblSeances[id_nageur],$A72,tblSeances[lundi],$B72,tblSeances[qualite],"casse"))</f>
        <v/>
      </c>
      <c r="R72" s="20">
        <f>IF($A72="","",IFERROR(INDEX(tblNageurs[seances_sem],MATCH($A72,tblNageurs[id],0)),3))</f>
        <v/>
      </c>
    </row>
    <row r="73" ht="28" customHeight="1">
      <c r="A73" s="34" t="n"/>
      <c r="B73" s="35" t="n"/>
      <c r="C73" s="13">
        <f>IF($A73="","",COUNTIFS(tblSeances[id_nageur],$A73,tblSeances[lundi],$B73,tblSeances[faite],"oui"))</f>
        <v/>
      </c>
      <c r="D73" s="13">
        <f>IF($A73="","",SUMIFS(tblSeances[volume_m],tblSeances[id_nageur],$A73,tblSeances[lundi],$B73,tblSeances[faite],"oui"))</f>
        <v/>
      </c>
      <c r="E73" s="16">
        <f>IF($A73="","",IFERROR(AVERAGEIFS(tblSeances[rpe],tblSeances[id_nageur],$A73,tblSeances[lundi],$B73,tblSeances[faite],"oui"),""))</f>
        <v/>
      </c>
      <c r="F73" s="17">
        <f>IF(OR($A73="",O73="",O73=0),"", (D73-O73)/O73)</f>
        <v/>
      </c>
      <c r="G73" s="13">
        <f>IF($A73="","",IFERROR(INDEX(FILTER(tblSeances[type_semaine],(tblSeances[id_nageur]=$A73)*(tblSeances[lundi]=$B73)*(tblSeances[type_semaine]&lt;&gt;"")),1),IF(AND(O73&gt;0,D73&lt;=0.7*O73),"allegee","normale")))</f>
        <v/>
      </c>
      <c r="H73" s="16">
        <f>IF($A73="","",IFERROR(LET(d,MAXIFS(tblSeances[lundi],tblSeances[id_nageur],$A73,tblSeances[type_semaine],"allegee"),IF(d=0,"",($B73-d)/7)),""))</f>
        <v/>
      </c>
      <c r="I73" s="16">
        <f>IF($A73="","",IFERROR(LET(d,MAXIFS(tblTests[date],tblTests[id_nageur],$A73,tblTests[protocole],"T100",tblTests[valide],"oui"),IF(d=0,"",($B73-d)/7)),""))</f>
        <v/>
      </c>
      <c r="J73" s="16">
        <f>IF($A73="","",IFERROR(LET(d,MAXIFS(tblTests[date],tblTests[id_nageur],$A73,tblTests[protocole],"T400",tblTests[valide],"oui"),IF(d=0,"",($B73-d)/7)),""))</f>
        <v/>
      </c>
      <c r="K73" s="16">
        <f>IF($A73="","",IFERROR((XLOOKUP($A73,tblObjectifs[cle_dashboard],tblObjectifs[date_objectif])-$B73)/7,""))</f>
        <v/>
      </c>
      <c r="L73" s="13">
        <f>IF($A73="","",IFS(C73&lt;=1,"",AND(K73&lt;&gt;"",K73&lt;=3),"affutage",G73="allegee","en_cours",AND(H73&lt;&gt;"",H73&gt;=IF(R73&lt;=2,5,3),C73&gt;=IF(R73&lt;=2,2,3)),"due",AND(F73&lt;&gt;"",F73&gt;0.1),"volume_+10%",AND(E73&lt;&gt;"",E73&gt;=8,P73&lt;&gt;"",P73&gt;=8),"rpe_2sem",Q73&gt;=2,"trop_casse",TRUE,""))</f>
        <v/>
      </c>
      <c r="M73" s="13">
        <f>IF($A73="","",IFS(AND(K73&lt;&gt;"",K73&lt;=3),"pas_maintenant",G73="allegee","attendre_fin_deload",AND(E73&lt;&gt;"",E73&gt;=8),"pas_maintenant",AND(I73&lt;&gt;"",I73&gt;=5,J73&lt;&gt;"",J73&gt;=7),"tester_A_et_B",AND(I73&lt;&gt;"",I73&gt;=5),"tester_A",AND(J73&lt;&gt;"",J73&gt;=7),"tester_B",TRUE,""))</f>
        <v/>
      </c>
      <c r="N73" s="15">
        <f>IF($A73="","",TEXTJOIN(" · ",TRUE,IF(L73="due","Deload cette semaine (−30% vol, RPE≤6, pas de max)",""),IF(L73="en_cours","Deload en cours — garder le leger",""),IF(L73="volume_+10%","Volume +10% vs S-1 — alleger S+1",""),IF(L73="rpe_2sem","RPE eleve 2 sem — alleger maintenant",""),IF(L73="trop_casse","Trop de seances cassees — recup cette semaine",""),IF(L73="affutage","Affutage : plus de max, allure de course",""),IF(M73="tester_A","Retest A (T50+T100) apres une seance facile",""),IF(M73="tester_B","Retest B (T200+T400) a frais",""),IF(M73="tester_A_et_B","Retest A cette sem, B la suivante",""),IF(M73="attendre_fin_deload","Retest apres le deload, pas pendant",""),IF(M73="pas_maintenant","Pas de test a fond",""),IF(AND(L73="",M73=""),"Charge OK — semaine normale","")))</f>
        <v/>
      </c>
      <c r="O73" s="13">
        <f>IF($A73="","",SUMIFS(tblSeances[volume_m],tblSeances[id_nageur],$A73,tblSeances[lundi],$B73-7,tblSeances[faite],"oui"))</f>
        <v/>
      </c>
      <c r="P73" s="16">
        <f>IF($A73="","",IFERROR(AVERAGEIFS(tblSeances[rpe],tblSeances[id_nageur],$A73,tblSeances[lundi],$B73-7,tblSeances[faite],"oui"),""))</f>
        <v/>
      </c>
      <c r="Q73" s="13">
        <f>IF($A73="","",COUNTIFS(tblSeances[id_nageur],$A73,tblSeances[lundi],$B73,tblSeances[qualite],"casse"))</f>
        <v/>
      </c>
      <c r="R73" s="13">
        <f>IF($A73="","",IFERROR(INDEX(tblNageurs[seances_sem],MATCH($A73,tblNageurs[id],0)),3))</f>
        <v/>
      </c>
    </row>
    <row r="74" ht="28" customHeight="1">
      <c r="A74" s="34" t="n"/>
      <c r="B74" s="35" t="n"/>
      <c r="C74" s="20">
        <f>IF($A74="","",COUNTIFS(tblSeances[id_nageur],$A74,tblSeances[lundi],$B74,tblSeances[faite],"oui"))</f>
        <v/>
      </c>
      <c r="D74" s="20">
        <f>IF($A74="","",SUMIFS(tblSeances[volume_m],tblSeances[id_nageur],$A74,tblSeances[lundi],$B74,tblSeances[faite],"oui"))</f>
        <v/>
      </c>
      <c r="E74" s="23">
        <f>IF($A74="","",IFERROR(AVERAGEIFS(tblSeances[rpe],tblSeances[id_nageur],$A74,tblSeances[lundi],$B74,tblSeances[faite],"oui"),""))</f>
        <v/>
      </c>
      <c r="F74" s="24">
        <f>IF(OR($A74="",O74="",O74=0),"", (D74-O74)/O74)</f>
        <v/>
      </c>
      <c r="G74" s="20">
        <f>IF($A74="","",IFERROR(INDEX(FILTER(tblSeances[type_semaine],(tblSeances[id_nageur]=$A74)*(tblSeances[lundi]=$B74)*(tblSeances[type_semaine]&lt;&gt;"")),1),IF(AND(O74&gt;0,D74&lt;=0.7*O74),"allegee","normale")))</f>
        <v/>
      </c>
      <c r="H74" s="23">
        <f>IF($A74="","",IFERROR(LET(d,MAXIFS(tblSeances[lundi],tblSeances[id_nageur],$A74,tblSeances[type_semaine],"allegee"),IF(d=0,"",($B74-d)/7)),""))</f>
        <v/>
      </c>
      <c r="I74" s="23">
        <f>IF($A74="","",IFERROR(LET(d,MAXIFS(tblTests[date],tblTests[id_nageur],$A74,tblTests[protocole],"T100",tblTests[valide],"oui"),IF(d=0,"",($B74-d)/7)),""))</f>
        <v/>
      </c>
      <c r="J74" s="23">
        <f>IF($A74="","",IFERROR(LET(d,MAXIFS(tblTests[date],tblTests[id_nageur],$A74,tblTests[protocole],"T400",tblTests[valide],"oui"),IF(d=0,"",($B74-d)/7)),""))</f>
        <v/>
      </c>
      <c r="K74" s="23">
        <f>IF($A74="","",IFERROR((XLOOKUP($A74,tblObjectifs[cle_dashboard],tblObjectifs[date_objectif])-$B74)/7,""))</f>
        <v/>
      </c>
      <c r="L74" s="20">
        <f>IF($A74="","",IFS(C74&lt;=1,"",AND(K74&lt;&gt;"",K74&lt;=3),"affutage",G74="allegee","en_cours",AND(H74&lt;&gt;"",H74&gt;=IF(R74&lt;=2,5,3),C74&gt;=IF(R74&lt;=2,2,3)),"due",AND(F74&lt;&gt;"",F74&gt;0.1),"volume_+10%",AND(E74&lt;&gt;"",E74&gt;=8,P74&lt;&gt;"",P74&gt;=8),"rpe_2sem",Q74&gt;=2,"trop_casse",TRUE,""))</f>
        <v/>
      </c>
      <c r="M74" s="20">
        <f>IF($A74="","",IFS(AND(K74&lt;&gt;"",K74&lt;=3),"pas_maintenant",G74="allegee","attendre_fin_deload",AND(E74&lt;&gt;"",E74&gt;=8),"pas_maintenant",AND(I74&lt;&gt;"",I74&gt;=5,J74&lt;&gt;"",J74&gt;=7),"tester_A_et_B",AND(I74&lt;&gt;"",I74&gt;=5),"tester_A",AND(J74&lt;&gt;"",J74&gt;=7),"tester_B",TRUE,""))</f>
        <v/>
      </c>
      <c r="N74" s="22">
        <f>IF($A74="","",TEXTJOIN(" · ",TRUE,IF(L74="due","Deload cette semaine (−30% vol, RPE≤6, pas de max)",""),IF(L74="en_cours","Deload en cours — garder le leger",""),IF(L74="volume_+10%","Volume +10% vs S-1 — alleger S+1",""),IF(L74="rpe_2sem","RPE eleve 2 sem — alleger maintenant",""),IF(L74="trop_casse","Trop de seances cassees — recup cette semaine",""),IF(L74="affutage","Affutage : plus de max, allure de course",""),IF(M74="tester_A","Retest A (T50+T100) apres une seance facile",""),IF(M74="tester_B","Retest B (T200+T400) a frais",""),IF(M74="tester_A_et_B","Retest A cette sem, B la suivante",""),IF(M74="attendre_fin_deload","Retest apres le deload, pas pendant",""),IF(M74="pas_maintenant","Pas de test a fond",""),IF(AND(L74="",M74=""),"Charge OK — semaine normale","")))</f>
        <v/>
      </c>
      <c r="O74" s="20">
        <f>IF($A74="","",SUMIFS(tblSeances[volume_m],tblSeances[id_nageur],$A74,tblSeances[lundi],$B74-7,tblSeances[faite],"oui"))</f>
        <v/>
      </c>
      <c r="P74" s="23">
        <f>IF($A74="","",IFERROR(AVERAGEIFS(tblSeances[rpe],tblSeances[id_nageur],$A74,tblSeances[lundi],$B74-7,tblSeances[faite],"oui"),""))</f>
        <v/>
      </c>
      <c r="Q74" s="20">
        <f>IF($A74="","",COUNTIFS(tblSeances[id_nageur],$A74,tblSeances[lundi],$B74,tblSeances[qualite],"casse"))</f>
        <v/>
      </c>
      <c r="R74" s="20">
        <f>IF($A74="","",IFERROR(INDEX(tblNageurs[seances_sem],MATCH($A74,tblNageurs[id],0)),3))</f>
        <v/>
      </c>
    </row>
    <row r="75" ht="28" customHeight="1">
      <c r="A75" s="34" t="n"/>
      <c r="B75" s="35" t="n"/>
      <c r="C75" s="13">
        <f>IF($A75="","",COUNTIFS(tblSeances[id_nageur],$A75,tblSeances[lundi],$B75,tblSeances[faite],"oui"))</f>
        <v/>
      </c>
      <c r="D75" s="13">
        <f>IF($A75="","",SUMIFS(tblSeances[volume_m],tblSeances[id_nageur],$A75,tblSeances[lundi],$B75,tblSeances[faite],"oui"))</f>
        <v/>
      </c>
      <c r="E75" s="16">
        <f>IF($A75="","",IFERROR(AVERAGEIFS(tblSeances[rpe],tblSeances[id_nageur],$A75,tblSeances[lundi],$B75,tblSeances[faite],"oui"),""))</f>
        <v/>
      </c>
      <c r="F75" s="17">
        <f>IF(OR($A75="",O75="",O75=0),"", (D75-O75)/O75)</f>
        <v/>
      </c>
      <c r="G75" s="13">
        <f>IF($A75="","",IFERROR(INDEX(FILTER(tblSeances[type_semaine],(tblSeances[id_nageur]=$A75)*(tblSeances[lundi]=$B75)*(tblSeances[type_semaine]&lt;&gt;"")),1),IF(AND(O75&gt;0,D75&lt;=0.7*O75),"allegee","normale")))</f>
        <v/>
      </c>
      <c r="H75" s="16">
        <f>IF($A75="","",IFERROR(LET(d,MAXIFS(tblSeances[lundi],tblSeances[id_nageur],$A75,tblSeances[type_semaine],"allegee"),IF(d=0,"",($B75-d)/7)),""))</f>
        <v/>
      </c>
      <c r="I75" s="16">
        <f>IF($A75="","",IFERROR(LET(d,MAXIFS(tblTests[date],tblTests[id_nageur],$A75,tblTests[protocole],"T100",tblTests[valide],"oui"),IF(d=0,"",($B75-d)/7)),""))</f>
        <v/>
      </c>
      <c r="J75" s="16">
        <f>IF($A75="","",IFERROR(LET(d,MAXIFS(tblTests[date],tblTests[id_nageur],$A75,tblTests[protocole],"T400",tblTests[valide],"oui"),IF(d=0,"",($B75-d)/7)),""))</f>
        <v/>
      </c>
      <c r="K75" s="16">
        <f>IF($A75="","",IFERROR((XLOOKUP($A75,tblObjectifs[cle_dashboard],tblObjectifs[date_objectif])-$B75)/7,""))</f>
        <v/>
      </c>
      <c r="L75" s="13">
        <f>IF($A75="","",IFS(C75&lt;=1,"",AND(K75&lt;&gt;"",K75&lt;=3),"affutage",G75="allegee","en_cours",AND(H75&lt;&gt;"",H75&gt;=IF(R75&lt;=2,5,3),C75&gt;=IF(R75&lt;=2,2,3)),"due",AND(F75&lt;&gt;"",F75&gt;0.1),"volume_+10%",AND(E75&lt;&gt;"",E75&gt;=8,P75&lt;&gt;"",P75&gt;=8),"rpe_2sem",Q75&gt;=2,"trop_casse",TRUE,""))</f>
        <v/>
      </c>
      <c r="M75" s="13">
        <f>IF($A75="","",IFS(AND(K75&lt;&gt;"",K75&lt;=3),"pas_maintenant",G75="allegee","attendre_fin_deload",AND(E75&lt;&gt;"",E75&gt;=8),"pas_maintenant",AND(I75&lt;&gt;"",I75&gt;=5,J75&lt;&gt;"",J75&gt;=7),"tester_A_et_B",AND(I75&lt;&gt;"",I75&gt;=5),"tester_A",AND(J75&lt;&gt;"",J75&gt;=7),"tester_B",TRUE,""))</f>
        <v/>
      </c>
      <c r="N75" s="15">
        <f>IF($A75="","",TEXTJOIN(" · ",TRUE,IF(L75="due","Deload cette semaine (−30% vol, RPE≤6, pas de max)",""),IF(L75="en_cours","Deload en cours — garder le leger",""),IF(L75="volume_+10%","Volume +10% vs S-1 — alleger S+1",""),IF(L75="rpe_2sem","RPE eleve 2 sem — alleger maintenant",""),IF(L75="trop_casse","Trop de seances cassees — recup cette semaine",""),IF(L75="affutage","Affutage : plus de max, allure de course",""),IF(M75="tester_A","Retest A (T50+T100) apres une seance facile",""),IF(M75="tester_B","Retest B (T200+T400) a frais",""),IF(M75="tester_A_et_B","Retest A cette sem, B la suivante",""),IF(M75="attendre_fin_deload","Retest apres le deload, pas pendant",""),IF(M75="pas_maintenant","Pas de test a fond",""),IF(AND(L75="",M75=""),"Charge OK — semaine normale","")))</f>
        <v/>
      </c>
      <c r="O75" s="13">
        <f>IF($A75="","",SUMIFS(tblSeances[volume_m],tblSeances[id_nageur],$A75,tblSeances[lundi],$B75-7,tblSeances[faite],"oui"))</f>
        <v/>
      </c>
      <c r="P75" s="16">
        <f>IF($A75="","",IFERROR(AVERAGEIFS(tblSeances[rpe],tblSeances[id_nageur],$A75,tblSeances[lundi],$B75-7,tblSeances[faite],"oui"),""))</f>
        <v/>
      </c>
      <c r="Q75" s="13">
        <f>IF($A75="","",COUNTIFS(tblSeances[id_nageur],$A75,tblSeances[lundi],$B75,tblSeances[qualite],"casse"))</f>
        <v/>
      </c>
      <c r="R75" s="13">
        <f>IF($A75="","",IFERROR(INDEX(tblNageurs[seances_sem],MATCH($A75,tblNageurs[id],0)),3))</f>
        <v/>
      </c>
    </row>
    <row r="76" ht="28" customHeight="1">
      <c r="A76" s="34" t="n"/>
      <c r="B76" s="35" t="n"/>
      <c r="C76" s="20">
        <f>IF($A76="","",COUNTIFS(tblSeances[id_nageur],$A76,tblSeances[lundi],$B76,tblSeances[faite],"oui"))</f>
        <v/>
      </c>
      <c r="D76" s="20">
        <f>IF($A76="","",SUMIFS(tblSeances[volume_m],tblSeances[id_nageur],$A76,tblSeances[lundi],$B76,tblSeances[faite],"oui"))</f>
        <v/>
      </c>
      <c r="E76" s="23">
        <f>IF($A76="","",IFERROR(AVERAGEIFS(tblSeances[rpe],tblSeances[id_nageur],$A76,tblSeances[lundi],$B76,tblSeances[faite],"oui"),""))</f>
        <v/>
      </c>
      <c r="F76" s="24">
        <f>IF(OR($A76="",O76="",O76=0),"", (D76-O76)/O76)</f>
        <v/>
      </c>
      <c r="G76" s="20">
        <f>IF($A76="","",IFERROR(INDEX(FILTER(tblSeances[type_semaine],(tblSeances[id_nageur]=$A76)*(tblSeances[lundi]=$B76)*(tblSeances[type_semaine]&lt;&gt;"")),1),IF(AND(O76&gt;0,D76&lt;=0.7*O76),"allegee","normale")))</f>
        <v/>
      </c>
      <c r="H76" s="23">
        <f>IF($A76="","",IFERROR(LET(d,MAXIFS(tblSeances[lundi],tblSeances[id_nageur],$A76,tblSeances[type_semaine],"allegee"),IF(d=0,"",($B76-d)/7)),""))</f>
        <v/>
      </c>
      <c r="I76" s="23">
        <f>IF($A76="","",IFERROR(LET(d,MAXIFS(tblTests[date],tblTests[id_nageur],$A76,tblTests[protocole],"T100",tblTests[valide],"oui"),IF(d=0,"",($B76-d)/7)),""))</f>
        <v/>
      </c>
      <c r="J76" s="23">
        <f>IF($A76="","",IFERROR(LET(d,MAXIFS(tblTests[date],tblTests[id_nageur],$A76,tblTests[protocole],"T400",tblTests[valide],"oui"),IF(d=0,"",($B76-d)/7)),""))</f>
        <v/>
      </c>
      <c r="K76" s="23">
        <f>IF($A76="","",IFERROR((XLOOKUP($A76,tblObjectifs[cle_dashboard],tblObjectifs[date_objectif])-$B76)/7,""))</f>
        <v/>
      </c>
      <c r="L76" s="20">
        <f>IF($A76="","",IFS(C76&lt;=1,"",AND(K76&lt;&gt;"",K76&lt;=3),"affutage",G76="allegee","en_cours",AND(H76&lt;&gt;"",H76&gt;=IF(R76&lt;=2,5,3),C76&gt;=IF(R76&lt;=2,2,3)),"due",AND(F76&lt;&gt;"",F76&gt;0.1),"volume_+10%",AND(E76&lt;&gt;"",E76&gt;=8,P76&lt;&gt;"",P76&gt;=8),"rpe_2sem",Q76&gt;=2,"trop_casse",TRUE,""))</f>
        <v/>
      </c>
      <c r="M76" s="20">
        <f>IF($A76="","",IFS(AND(K76&lt;&gt;"",K76&lt;=3),"pas_maintenant",G76="allegee","attendre_fin_deload",AND(E76&lt;&gt;"",E76&gt;=8),"pas_maintenant",AND(I76&lt;&gt;"",I76&gt;=5,J76&lt;&gt;"",J76&gt;=7),"tester_A_et_B",AND(I76&lt;&gt;"",I76&gt;=5),"tester_A",AND(J76&lt;&gt;"",J76&gt;=7),"tester_B",TRUE,""))</f>
        <v/>
      </c>
      <c r="N76" s="22">
        <f>IF($A76="","",TEXTJOIN(" · ",TRUE,IF(L76="due","Deload cette semaine (−30% vol, RPE≤6, pas de max)",""),IF(L76="en_cours","Deload en cours — garder le leger",""),IF(L76="volume_+10%","Volume +10% vs S-1 — alleger S+1",""),IF(L76="rpe_2sem","RPE eleve 2 sem — alleger maintenant",""),IF(L76="trop_casse","Trop de seances cassees — recup cette semaine",""),IF(L76="affutage","Affutage : plus de max, allure de course",""),IF(M76="tester_A","Retest A (T50+T100) apres une seance facile",""),IF(M76="tester_B","Retest B (T200+T400) a frais",""),IF(M76="tester_A_et_B","Retest A cette sem, B la suivante",""),IF(M76="attendre_fin_deload","Retest apres le deload, pas pendant",""),IF(M76="pas_maintenant","Pas de test a fond",""),IF(AND(L76="",M76=""),"Charge OK — semaine normale","")))</f>
        <v/>
      </c>
      <c r="O76" s="20">
        <f>IF($A76="","",SUMIFS(tblSeances[volume_m],tblSeances[id_nageur],$A76,tblSeances[lundi],$B76-7,tblSeances[faite],"oui"))</f>
        <v/>
      </c>
      <c r="P76" s="23">
        <f>IF($A76="","",IFERROR(AVERAGEIFS(tblSeances[rpe],tblSeances[id_nageur],$A76,tblSeances[lundi],$B76-7,tblSeances[faite],"oui"),""))</f>
        <v/>
      </c>
      <c r="Q76" s="20">
        <f>IF($A76="","",COUNTIFS(tblSeances[id_nageur],$A76,tblSeances[lundi],$B76,tblSeances[qualite],"casse"))</f>
        <v/>
      </c>
      <c r="R76" s="20">
        <f>IF($A76="","",IFERROR(INDEX(tblNageurs[seances_sem],MATCH($A76,tblNageurs[id],0)),3))</f>
        <v/>
      </c>
    </row>
    <row r="77" ht="28" customHeight="1">
      <c r="A77" s="34" t="n"/>
      <c r="B77" s="35" t="n"/>
      <c r="C77" s="13">
        <f>IF($A77="","",COUNTIFS(tblSeances[id_nageur],$A77,tblSeances[lundi],$B77,tblSeances[faite],"oui"))</f>
        <v/>
      </c>
      <c r="D77" s="13">
        <f>IF($A77="","",SUMIFS(tblSeances[volume_m],tblSeances[id_nageur],$A77,tblSeances[lundi],$B77,tblSeances[faite],"oui"))</f>
        <v/>
      </c>
      <c r="E77" s="16">
        <f>IF($A77="","",IFERROR(AVERAGEIFS(tblSeances[rpe],tblSeances[id_nageur],$A77,tblSeances[lundi],$B77,tblSeances[faite],"oui"),""))</f>
        <v/>
      </c>
      <c r="F77" s="17">
        <f>IF(OR($A77="",O77="",O77=0),"", (D77-O77)/O77)</f>
        <v/>
      </c>
      <c r="G77" s="13">
        <f>IF($A77="","",IFERROR(INDEX(FILTER(tblSeances[type_semaine],(tblSeances[id_nageur]=$A77)*(tblSeances[lundi]=$B77)*(tblSeances[type_semaine]&lt;&gt;"")),1),IF(AND(O77&gt;0,D77&lt;=0.7*O77),"allegee","normale")))</f>
        <v/>
      </c>
      <c r="H77" s="16">
        <f>IF($A77="","",IFERROR(LET(d,MAXIFS(tblSeances[lundi],tblSeances[id_nageur],$A77,tblSeances[type_semaine],"allegee"),IF(d=0,"",($B77-d)/7)),""))</f>
        <v/>
      </c>
      <c r="I77" s="16">
        <f>IF($A77="","",IFERROR(LET(d,MAXIFS(tblTests[date],tblTests[id_nageur],$A77,tblTests[protocole],"T100",tblTests[valide],"oui"),IF(d=0,"",($B77-d)/7)),""))</f>
        <v/>
      </c>
      <c r="J77" s="16">
        <f>IF($A77="","",IFERROR(LET(d,MAXIFS(tblTests[date],tblTests[id_nageur],$A77,tblTests[protocole],"T400",tblTests[valide],"oui"),IF(d=0,"",($B77-d)/7)),""))</f>
        <v/>
      </c>
      <c r="K77" s="16">
        <f>IF($A77="","",IFERROR((XLOOKUP($A77,tblObjectifs[cle_dashboard],tblObjectifs[date_objectif])-$B77)/7,""))</f>
        <v/>
      </c>
      <c r="L77" s="13">
        <f>IF($A77="","",IFS(C77&lt;=1,"",AND(K77&lt;&gt;"",K77&lt;=3),"affutage",G77="allegee","en_cours",AND(H77&lt;&gt;"",H77&gt;=IF(R77&lt;=2,5,3),C77&gt;=IF(R77&lt;=2,2,3)),"due",AND(F77&lt;&gt;"",F77&gt;0.1),"volume_+10%",AND(E77&lt;&gt;"",E77&gt;=8,P77&lt;&gt;"",P77&gt;=8),"rpe_2sem",Q77&gt;=2,"trop_casse",TRUE,""))</f>
        <v/>
      </c>
      <c r="M77" s="13">
        <f>IF($A77="","",IFS(AND(K77&lt;&gt;"",K77&lt;=3),"pas_maintenant",G77="allegee","attendre_fin_deload",AND(E77&lt;&gt;"",E77&gt;=8),"pas_maintenant",AND(I77&lt;&gt;"",I77&gt;=5,J77&lt;&gt;"",J77&gt;=7),"tester_A_et_B",AND(I77&lt;&gt;"",I77&gt;=5),"tester_A",AND(J77&lt;&gt;"",J77&gt;=7),"tester_B",TRUE,""))</f>
        <v/>
      </c>
      <c r="N77" s="15">
        <f>IF($A77="","",TEXTJOIN(" · ",TRUE,IF(L77="due","Deload cette semaine (−30% vol, RPE≤6, pas de max)",""),IF(L77="en_cours","Deload en cours — garder le leger",""),IF(L77="volume_+10%","Volume +10% vs S-1 — alleger S+1",""),IF(L77="rpe_2sem","RPE eleve 2 sem — alleger maintenant",""),IF(L77="trop_casse","Trop de seances cassees — recup cette semaine",""),IF(L77="affutage","Affutage : plus de max, allure de course",""),IF(M77="tester_A","Retest A (T50+T100) apres une seance facile",""),IF(M77="tester_B","Retest B (T200+T400) a frais",""),IF(M77="tester_A_et_B","Retest A cette sem, B la suivante",""),IF(M77="attendre_fin_deload","Retest apres le deload, pas pendant",""),IF(M77="pas_maintenant","Pas de test a fond",""),IF(AND(L77="",M77=""),"Charge OK — semaine normale","")))</f>
        <v/>
      </c>
      <c r="O77" s="13">
        <f>IF($A77="","",SUMIFS(tblSeances[volume_m],tblSeances[id_nageur],$A77,tblSeances[lundi],$B77-7,tblSeances[faite],"oui"))</f>
        <v/>
      </c>
      <c r="P77" s="16">
        <f>IF($A77="","",IFERROR(AVERAGEIFS(tblSeances[rpe],tblSeances[id_nageur],$A77,tblSeances[lundi],$B77-7,tblSeances[faite],"oui"),""))</f>
        <v/>
      </c>
      <c r="Q77" s="13">
        <f>IF($A77="","",COUNTIFS(tblSeances[id_nageur],$A77,tblSeances[lundi],$B77,tblSeances[qualite],"casse"))</f>
        <v/>
      </c>
      <c r="R77" s="13">
        <f>IF($A77="","",IFERROR(INDEX(tblNageurs[seances_sem],MATCH($A77,tblNageurs[id],0)),3))</f>
        <v/>
      </c>
    </row>
    <row r="78" ht="28" customHeight="1">
      <c r="A78" s="34" t="n"/>
      <c r="B78" s="35" t="n"/>
      <c r="C78" s="20">
        <f>IF($A78="","",COUNTIFS(tblSeances[id_nageur],$A78,tblSeances[lundi],$B78,tblSeances[faite],"oui"))</f>
        <v/>
      </c>
      <c r="D78" s="20">
        <f>IF($A78="","",SUMIFS(tblSeances[volume_m],tblSeances[id_nageur],$A78,tblSeances[lundi],$B78,tblSeances[faite],"oui"))</f>
        <v/>
      </c>
      <c r="E78" s="23">
        <f>IF($A78="","",IFERROR(AVERAGEIFS(tblSeances[rpe],tblSeances[id_nageur],$A78,tblSeances[lundi],$B78,tblSeances[faite],"oui"),""))</f>
        <v/>
      </c>
      <c r="F78" s="24">
        <f>IF(OR($A78="",O78="",O78=0),"", (D78-O78)/O78)</f>
        <v/>
      </c>
      <c r="G78" s="20">
        <f>IF($A78="","",IFERROR(INDEX(FILTER(tblSeances[type_semaine],(tblSeances[id_nageur]=$A78)*(tblSeances[lundi]=$B78)*(tblSeances[type_semaine]&lt;&gt;"")),1),IF(AND(O78&gt;0,D78&lt;=0.7*O78),"allegee","normale")))</f>
        <v/>
      </c>
      <c r="H78" s="23">
        <f>IF($A78="","",IFERROR(LET(d,MAXIFS(tblSeances[lundi],tblSeances[id_nageur],$A78,tblSeances[type_semaine],"allegee"),IF(d=0,"",($B78-d)/7)),""))</f>
        <v/>
      </c>
      <c r="I78" s="23">
        <f>IF($A78="","",IFERROR(LET(d,MAXIFS(tblTests[date],tblTests[id_nageur],$A78,tblTests[protocole],"T100",tblTests[valide],"oui"),IF(d=0,"",($B78-d)/7)),""))</f>
        <v/>
      </c>
      <c r="J78" s="23">
        <f>IF($A78="","",IFERROR(LET(d,MAXIFS(tblTests[date],tblTests[id_nageur],$A78,tblTests[protocole],"T400",tblTests[valide],"oui"),IF(d=0,"",($B78-d)/7)),""))</f>
        <v/>
      </c>
      <c r="K78" s="23">
        <f>IF($A78="","",IFERROR((XLOOKUP($A78,tblObjectifs[cle_dashboard],tblObjectifs[date_objectif])-$B78)/7,""))</f>
        <v/>
      </c>
      <c r="L78" s="20">
        <f>IF($A78="","",IFS(C78&lt;=1,"",AND(K78&lt;&gt;"",K78&lt;=3),"affutage",G78="allegee","en_cours",AND(H78&lt;&gt;"",H78&gt;=IF(R78&lt;=2,5,3),C78&gt;=IF(R78&lt;=2,2,3)),"due",AND(F78&lt;&gt;"",F78&gt;0.1),"volume_+10%",AND(E78&lt;&gt;"",E78&gt;=8,P78&lt;&gt;"",P78&gt;=8),"rpe_2sem",Q78&gt;=2,"trop_casse",TRUE,""))</f>
        <v/>
      </c>
      <c r="M78" s="20">
        <f>IF($A78="","",IFS(AND(K78&lt;&gt;"",K78&lt;=3),"pas_maintenant",G78="allegee","attendre_fin_deload",AND(E78&lt;&gt;"",E78&gt;=8),"pas_maintenant",AND(I78&lt;&gt;"",I78&gt;=5,J78&lt;&gt;"",J78&gt;=7),"tester_A_et_B",AND(I78&lt;&gt;"",I78&gt;=5),"tester_A",AND(J78&lt;&gt;"",J78&gt;=7),"tester_B",TRUE,""))</f>
        <v/>
      </c>
      <c r="N78" s="22">
        <f>IF($A78="","",TEXTJOIN(" · ",TRUE,IF(L78="due","Deload cette semaine (−30% vol, RPE≤6, pas de max)",""),IF(L78="en_cours","Deload en cours — garder le leger",""),IF(L78="volume_+10%","Volume +10% vs S-1 — alleger S+1",""),IF(L78="rpe_2sem","RPE eleve 2 sem — alleger maintenant",""),IF(L78="trop_casse","Trop de seances cassees — recup cette semaine",""),IF(L78="affutage","Affutage : plus de max, allure de course",""),IF(M78="tester_A","Retest A (T50+T100) apres une seance facile",""),IF(M78="tester_B","Retest B (T200+T400) a frais",""),IF(M78="tester_A_et_B","Retest A cette sem, B la suivante",""),IF(M78="attendre_fin_deload","Retest apres le deload, pas pendant",""),IF(M78="pas_maintenant","Pas de test a fond",""),IF(AND(L78="",M78=""),"Charge OK — semaine normale","")))</f>
        <v/>
      </c>
      <c r="O78" s="20">
        <f>IF($A78="","",SUMIFS(tblSeances[volume_m],tblSeances[id_nageur],$A78,tblSeances[lundi],$B78-7,tblSeances[faite],"oui"))</f>
        <v/>
      </c>
      <c r="P78" s="23">
        <f>IF($A78="","",IFERROR(AVERAGEIFS(tblSeances[rpe],tblSeances[id_nageur],$A78,tblSeances[lundi],$B78-7,tblSeances[faite],"oui"),""))</f>
        <v/>
      </c>
      <c r="Q78" s="20">
        <f>IF($A78="","",COUNTIFS(tblSeances[id_nageur],$A78,tblSeances[lundi],$B78,tblSeances[qualite],"casse"))</f>
        <v/>
      </c>
      <c r="R78" s="20">
        <f>IF($A78="","",IFERROR(INDEX(tblNageurs[seances_sem],MATCH($A78,tblNageurs[id],0)),3))</f>
        <v/>
      </c>
    </row>
    <row r="79" ht="28" customHeight="1">
      <c r="A79" s="34" t="n"/>
      <c r="B79" s="35" t="n"/>
      <c r="C79" s="13">
        <f>IF($A79="","",COUNTIFS(tblSeances[id_nageur],$A79,tblSeances[lundi],$B79,tblSeances[faite],"oui"))</f>
        <v/>
      </c>
      <c r="D79" s="13">
        <f>IF($A79="","",SUMIFS(tblSeances[volume_m],tblSeances[id_nageur],$A79,tblSeances[lundi],$B79,tblSeances[faite],"oui"))</f>
        <v/>
      </c>
      <c r="E79" s="16">
        <f>IF($A79="","",IFERROR(AVERAGEIFS(tblSeances[rpe],tblSeances[id_nageur],$A79,tblSeances[lundi],$B79,tblSeances[faite],"oui"),""))</f>
        <v/>
      </c>
      <c r="F79" s="17">
        <f>IF(OR($A79="",O79="",O79=0),"", (D79-O79)/O79)</f>
        <v/>
      </c>
      <c r="G79" s="13">
        <f>IF($A79="","",IFERROR(INDEX(FILTER(tblSeances[type_semaine],(tblSeances[id_nageur]=$A79)*(tblSeances[lundi]=$B79)*(tblSeances[type_semaine]&lt;&gt;"")),1),IF(AND(O79&gt;0,D79&lt;=0.7*O79),"allegee","normale")))</f>
        <v/>
      </c>
      <c r="H79" s="16">
        <f>IF($A79="","",IFERROR(LET(d,MAXIFS(tblSeances[lundi],tblSeances[id_nageur],$A79,tblSeances[type_semaine],"allegee"),IF(d=0,"",($B79-d)/7)),""))</f>
        <v/>
      </c>
      <c r="I79" s="16">
        <f>IF($A79="","",IFERROR(LET(d,MAXIFS(tblTests[date],tblTests[id_nageur],$A79,tblTests[protocole],"T100",tblTests[valide],"oui"),IF(d=0,"",($B79-d)/7)),""))</f>
        <v/>
      </c>
      <c r="J79" s="16">
        <f>IF($A79="","",IFERROR(LET(d,MAXIFS(tblTests[date],tblTests[id_nageur],$A79,tblTests[protocole],"T400",tblTests[valide],"oui"),IF(d=0,"",($B79-d)/7)),""))</f>
        <v/>
      </c>
      <c r="K79" s="16">
        <f>IF($A79="","",IFERROR((XLOOKUP($A79,tblObjectifs[cle_dashboard],tblObjectifs[date_objectif])-$B79)/7,""))</f>
        <v/>
      </c>
      <c r="L79" s="13">
        <f>IF($A79="","",IFS(C79&lt;=1,"",AND(K79&lt;&gt;"",K79&lt;=3),"affutage",G79="allegee","en_cours",AND(H79&lt;&gt;"",H79&gt;=IF(R79&lt;=2,5,3),C79&gt;=IF(R79&lt;=2,2,3)),"due",AND(F79&lt;&gt;"",F79&gt;0.1),"volume_+10%",AND(E79&lt;&gt;"",E79&gt;=8,P79&lt;&gt;"",P79&gt;=8),"rpe_2sem",Q79&gt;=2,"trop_casse",TRUE,""))</f>
        <v/>
      </c>
      <c r="M79" s="13">
        <f>IF($A79="","",IFS(AND(K79&lt;&gt;"",K79&lt;=3),"pas_maintenant",G79="allegee","attendre_fin_deload",AND(E79&lt;&gt;"",E79&gt;=8),"pas_maintenant",AND(I79&lt;&gt;"",I79&gt;=5,J79&lt;&gt;"",J79&gt;=7),"tester_A_et_B",AND(I79&lt;&gt;"",I79&gt;=5),"tester_A",AND(J79&lt;&gt;"",J79&gt;=7),"tester_B",TRUE,""))</f>
        <v/>
      </c>
      <c r="N79" s="15">
        <f>IF($A79="","",TEXTJOIN(" · ",TRUE,IF(L79="due","Deload cette semaine (−30% vol, RPE≤6, pas de max)",""),IF(L79="en_cours","Deload en cours — garder le leger",""),IF(L79="volume_+10%","Volume +10% vs S-1 — alleger S+1",""),IF(L79="rpe_2sem","RPE eleve 2 sem — alleger maintenant",""),IF(L79="trop_casse","Trop de seances cassees — recup cette semaine",""),IF(L79="affutage","Affutage : plus de max, allure de course",""),IF(M79="tester_A","Retest A (T50+T100) apres une seance facile",""),IF(M79="tester_B","Retest B (T200+T400) a frais",""),IF(M79="tester_A_et_B","Retest A cette sem, B la suivante",""),IF(M79="attendre_fin_deload","Retest apres le deload, pas pendant",""),IF(M79="pas_maintenant","Pas de test a fond",""),IF(AND(L79="",M79=""),"Charge OK — semaine normale","")))</f>
        <v/>
      </c>
      <c r="O79" s="13">
        <f>IF($A79="","",SUMIFS(tblSeances[volume_m],tblSeances[id_nageur],$A79,tblSeances[lundi],$B79-7,tblSeances[faite],"oui"))</f>
        <v/>
      </c>
      <c r="P79" s="16">
        <f>IF($A79="","",IFERROR(AVERAGEIFS(tblSeances[rpe],tblSeances[id_nageur],$A79,tblSeances[lundi],$B79-7,tblSeances[faite],"oui"),""))</f>
        <v/>
      </c>
      <c r="Q79" s="13">
        <f>IF($A79="","",COUNTIFS(tblSeances[id_nageur],$A79,tblSeances[lundi],$B79,tblSeances[qualite],"casse"))</f>
        <v/>
      </c>
      <c r="R79" s="13">
        <f>IF($A79="","",IFERROR(INDEX(tblNageurs[seances_sem],MATCH($A79,tblNageurs[id],0)),3))</f>
        <v/>
      </c>
    </row>
    <row r="80" ht="28" customHeight="1">
      <c r="A80" s="34" t="n"/>
      <c r="B80" s="35" t="n"/>
      <c r="C80" s="20">
        <f>IF($A80="","",COUNTIFS(tblSeances[id_nageur],$A80,tblSeances[lundi],$B80,tblSeances[faite],"oui"))</f>
        <v/>
      </c>
      <c r="D80" s="20">
        <f>IF($A80="","",SUMIFS(tblSeances[volume_m],tblSeances[id_nageur],$A80,tblSeances[lundi],$B80,tblSeances[faite],"oui"))</f>
        <v/>
      </c>
      <c r="E80" s="23">
        <f>IF($A80="","",IFERROR(AVERAGEIFS(tblSeances[rpe],tblSeances[id_nageur],$A80,tblSeances[lundi],$B80,tblSeances[faite],"oui"),""))</f>
        <v/>
      </c>
      <c r="F80" s="24">
        <f>IF(OR($A80="",O80="",O80=0),"", (D80-O80)/O80)</f>
        <v/>
      </c>
      <c r="G80" s="20">
        <f>IF($A80="","",IFERROR(INDEX(FILTER(tblSeances[type_semaine],(tblSeances[id_nageur]=$A80)*(tblSeances[lundi]=$B80)*(tblSeances[type_semaine]&lt;&gt;"")),1),IF(AND(O80&gt;0,D80&lt;=0.7*O80),"allegee","normale")))</f>
        <v/>
      </c>
      <c r="H80" s="23">
        <f>IF($A80="","",IFERROR(LET(d,MAXIFS(tblSeances[lundi],tblSeances[id_nageur],$A80,tblSeances[type_semaine],"allegee"),IF(d=0,"",($B80-d)/7)),""))</f>
        <v/>
      </c>
      <c r="I80" s="23">
        <f>IF($A80="","",IFERROR(LET(d,MAXIFS(tblTests[date],tblTests[id_nageur],$A80,tblTests[protocole],"T100",tblTests[valide],"oui"),IF(d=0,"",($B80-d)/7)),""))</f>
        <v/>
      </c>
      <c r="J80" s="23">
        <f>IF($A80="","",IFERROR(LET(d,MAXIFS(tblTests[date],tblTests[id_nageur],$A80,tblTests[protocole],"T400",tblTests[valide],"oui"),IF(d=0,"",($B80-d)/7)),""))</f>
        <v/>
      </c>
      <c r="K80" s="23">
        <f>IF($A80="","",IFERROR((XLOOKUP($A80,tblObjectifs[cle_dashboard],tblObjectifs[date_objectif])-$B80)/7,""))</f>
        <v/>
      </c>
      <c r="L80" s="20">
        <f>IF($A80="","",IFS(C80&lt;=1,"",AND(K80&lt;&gt;"",K80&lt;=3),"affutage",G80="allegee","en_cours",AND(H80&lt;&gt;"",H80&gt;=IF(R80&lt;=2,5,3),C80&gt;=IF(R80&lt;=2,2,3)),"due",AND(F80&lt;&gt;"",F80&gt;0.1),"volume_+10%",AND(E80&lt;&gt;"",E80&gt;=8,P80&lt;&gt;"",P80&gt;=8),"rpe_2sem",Q80&gt;=2,"trop_casse",TRUE,""))</f>
        <v/>
      </c>
      <c r="M80" s="20">
        <f>IF($A80="","",IFS(AND(K80&lt;&gt;"",K80&lt;=3),"pas_maintenant",G80="allegee","attendre_fin_deload",AND(E80&lt;&gt;"",E80&gt;=8),"pas_maintenant",AND(I80&lt;&gt;"",I80&gt;=5,J80&lt;&gt;"",J80&gt;=7),"tester_A_et_B",AND(I80&lt;&gt;"",I80&gt;=5),"tester_A",AND(J80&lt;&gt;"",J80&gt;=7),"tester_B",TRUE,""))</f>
        <v/>
      </c>
      <c r="N80" s="22">
        <f>IF($A80="","",TEXTJOIN(" · ",TRUE,IF(L80="due","Deload cette semaine (−30% vol, RPE≤6, pas de max)",""),IF(L80="en_cours","Deload en cours — garder le leger",""),IF(L80="volume_+10%","Volume +10% vs S-1 — alleger S+1",""),IF(L80="rpe_2sem","RPE eleve 2 sem — alleger maintenant",""),IF(L80="trop_casse","Trop de seances cassees — recup cette semaine",""),IF(L80="affutage","Affutage : plus de max, allure de course",""),IF(M80="tester_A","Retest A (T50+T100) apres une seance facile",""),IF(M80="tester_B","Retest B (T200+T400) a frais",""),IF(M80="tester_A_et_B","Retest A cette sem, B la suivante",""),IF(M80="attendre_fin_deload","Retest apres le deload, pas pendant",""),IF(M80="pas_maintenant","Pas de test a fond",""),IF(AND(L80="",M80=""),"Charge OK — semaine normale","")))</f>
        <v/>
      </c>
      <c r="O80" s="20">
        <f>IF($A80="","",SUMIFS(tblSeances[volume_m],tblSeances[id_nageur],$A80,tblSeances[lundi],$B80-7,tblSeances[faite],"oui"))</f>
        <v/>
      </c>
      <c r="P80" s="23">
        <f>IF($A80="","",IFERROR(AVERAGEIFS(tblSeances[rpe],tblSeances[id_nageur],$A80,tblSeances[lundi],$B80-7,tblSeances[faite],"oui"),""))</f>
        <v/>
      </c>
      <c r="Q80" s="20">
        <f>IF($A80="","",COUNTIFS(tblSeances[id_nageur],$A80,tblSeances[lundi],$B80,tblSeances[qualite],"casse"))</f>
        <v/>
      </c>
      <c r="R80" s="20">
        <f>IF($A80="","",IFERROR(INDEX(tblNageurs[seances_sem],MATCH($A80,tblNageurs[id],0)),3))</f>
        <v/>
      </c>
    </row>
    <row r="81" ht="28" customHeight="1">
      <c r="A81" s="34" t="n"/>
      <c r="B81" s="35" t="n"/>
      <c r="C81" s="13">
        <f>IF($A81="","",COUNTIFS(tblSeances[id_nageur],$A81,tblSeances[lundi],$B81,tblSeances[faite],"oui"))</f>
        <v/>
      </c>
      <c r="D81" s="13">
        <f>IF($A81="","",SUMIFS(tblSeances[volume_m],tblSeances[id_nageur],$A81,tblSeances[lundi],$B81,tblSeances[faite],"oui"))</f>
        <v/>
      </c>
      <c r="E81" s="16">
        <f>IF($A81="","",IFERROR(AVERAGEIFS(tblSeances[rpe],tblSeances[id_nageur],$A81,tblSeances[lundi],$B81,tblSeances[faite],"oui"),""))</f>
        <v/>
      </c>
      <c r="F81" s="17">
        <f>IF(OR($A81="",O81="",O81=0),"", (D81-O81)/O81)</f>
        <v/>
      </c>
      <c r="G81" s="13">
        <f>IF($A81="","",IFERROR(INDEX(FILTER(tblSeances[type_semaine],(tblSeances[id_nageur]=$A81)*(tblSeances[lundi]=$B81)*(tblSeances[type_semaine]&lt;&gt;"")),1),IF(AND(O81&gt;0,D81&lt;=0.7*O81),"allegee","normale")))</f>
        <v/>
      </c>
      <c r="H81" s="16">
        <f>IF($A81="","",IFERROR(LET(d,MAXIFS(tblSeances[lundi],tblSeances[id_nageur],$A81,tblSeances[type_semaine],"allegee"),IF(d=0,"",($B81-d)/7)),""))</f>
        <v/>
      </c>
      <c r="I81" s="16">
        <f>IF($A81="","",IFERROR(LET(d,MAXIFS(tblTests[date],tblTests[id_nageur],$A81,tblTests[protocole],"T100",tblTests[valide],"oui"),IF(d=0,"",($B81-d)/7)),""))</f>
        <v/>
      </c>
      <c r="J81" s="16">
        <f>IF($A81="","",IFERROR(LET(d,MAXIFS(tblTests[date],tblTests[id_nageur],$A81,tblTests[protocole],"T400",tblTests[valide],"oui"),IF(d=0,"",($B81-d)/7)),""))</f>
        <v/>
      </c>
      <c r="K81" s="16">
        <f>IF($A81="","",IFERROR((XLOOKUP($A81,tblObjectifs[cle_dashboard],tblObjectifs[date_objectif])-$B81)/7,""))</f>
        <v/>
      </c>
      <c r="L81" s="13">
        <f>IF($A81="","",IFS(C81&lt;=1,"",AND(K81&lt;&gt;"",K81&lt;=3),"affutage",G81="allegee","en_cours",AND(H81&lt;&gt;"",H81&gt;=IF(R81&lt;=2,5,3),C81&gt;=IF(R81&lt;=2,2,3)),"due",AND(F81&lt;&gt;"",F81&gt;0.1),"volume_+10%",AND(E81&lt;&gt;"",E81&gt;=8,P81&lt;&gt;"",P81&gt;=8),"rpe_2sem",Q81&gt;=2,"trop_casse",TRUE,""))</f>
        <v/>
      </c>
      <c r="M81" s="13">
        <f>IF($A81="","",IFS(AND(K81&lt;&gt;"",K81&lt;=3),"pas_maintenant",G81="allegee","attendre_fin_deload",AND(E81&lt;&gt;"",E81&gt;=8),"pas_maintenant",AND(I81&lt;&gt;"",I81&gt;=5,J81&lt;&gt;"",J81&gt;=7),"tester_A_et_B",AND(I81&lt;&gt;"",I81&gt;=5),"tester_A",AND(J81&lt;&gt;"",J81&gt;=7),"tester_B",TRUE,""))</f>
        <v/>
      </c>
      <c r="N81" s="15">
        <f>IF($A81="","",TEXTJOIN(" · ",TRUE,IF(L81="due","Deload cette semaine (−30% vol, RPE≤6, pas de max)",""),IF(L81="en_cours","Deload en cours — garder le leger",""),IF(L81="volume_+10%","Volume +10% vs S-1 — alleger S+1",""),IF(L81="rpe_2sem","RPE eleve 2 sem — alleger maintenant",""),IF(L81="trop_casse","Trop de seances cassees — recup cette semaine",""),IF(L81="affutage","Affutage : plus de max, allure de course",""),IF(M81="tester_A","Retest A (T50+T100) apres une seance facile",""),IF(M81="tester_B","Retest B (T200+T400) a frais",""),IF(M81="tester_A_et_B","Retest A cette sem, B la suivante",""),IF(M81="attendre_fin_deload","Retest apres le deload, pas pendant",""),IF(M81="pas_maintenant","Pas de test a fond",""),IF(AND(L81="",M81=""),"Charge OK — semaine normale","")))</f>
        <v/>
      </c>
      <c r="O81" s="13">
        <f>IF($A81="","",SUMIFS(tblSeances[volume_m],tblSeances[id_nageur],$A81,tblSeances[lundi],$B81-7,tblSeances[faite],"oui"))</f>
        <v/>
      </c>
      <c r="P81" s="16">
        <f>IF($A81="","",IFERROR(AVERAGEIFS(tblSeances[rpe],tblSeances[id_nageur],$A81,tblSeances[lundi],$B81-7,tblSeances[faite],"oui"),""))</f>
        <v/>
      </c>
      <c r="Q81" s="13">
        <f>IF($A81="","",COUNTIFS(tblSeances[id_nageur],$A81,tblSeances[lundi],$B81,tblSeances[qualite],"casse"))</f>
        <v/>
      </c>
      <c r="R81" s="13">
        <f>IF($A81="","",IFERROR(INDEX(tblNageurs[seances_sem],MATCH($A81,tblNageurs[id],0)),3))</f>
        <v/>
      </c>
    </row>
    <row r="82" ht="28" customHeight="1">
      <c r="A82" s="34" t="n"/>
      <c r="B82" s="35" t="n"/>
      <c r="C82" s="20">
        <f>IF($A82="","",COUNTIFS(tblSeances[id_nageur],$A82,tblSeances[lundi],$B82,tblSeances[faite],"oui"))</f>
        <v/>
      </c>
      <c r="D82" s="20">
        <f>IF($A82="","",SUMIFS(tblSeances[volume_m],tblSeances[id_nageur],$A82,tblSeances[lundi],$B82,tblSeances[faite],"oui"))</f>
        <v/>
      </c>
      <c r="E82" s="23">
        <f>IF($A82="","",IFERROR(AVERAGEIFS(tblSeances[rpe],tblSeances[id_nageur],$A82,tblSeances[lundi],$B82,tblSeances[faite],"oui"),""))</f>
        <v/>
      </c>
      <c r="F82" s="24">
        <f>IF(OR($A82="",O82="",O82=0),"", (D82-O82)/O82)</f>
        <v/>
      </c>
      <c r="G82" s="20">
        <f>IF($A82="","",IFERROR(INDEX(FILTER(tblSeances[type_semaine],(tblSeances[id_nageur]=$A82)*(tblSeances[lundi]=$B82)*(tblSeances[type_semaine]&lt;&gt;"")),1),IF(AND(O82&gt;0,D82&lt;=0.7*O82),"allegee","normale")))</f>
        <v/>
      </c>
      <c r="H82" s="23">
        <f>IF($A82="","",IFERROR(LET(d,MAXIFS(tblSeances[lundi],tblSeances[id_nageur],$A82,tblSeances[type_semaine],"allegee"),IF(d=0,"",($B82-d)/7)),""))</f>
        <v/>
      </c>
      <c r="I82" s="23">
        <f>IF($A82="","",IFERROR(LET(d,MAXIFS(tblTests[date],tblTests[id_nageur],$A82,tblTests[protocole],"T100",tblTests[valide],"oui"),IF(d=0,"",($B82-d)/7)),""))</f>
        <v/>
      </c>
      <c r="J82" s="23">
        <f>IF($A82="","",IFERROR(LET(d,MAXIFS(tblTests[date],tblTests[id_nageur],$A82,tblTests[protocole],"T400",tblTests[valide],"oui"),IF(d=0,"",($B82-d)/7)),""))</f>
        <v/>
      </c>
      <c r="K82" s="23">
        <f>IF($A82="","",IFERROR((XLOOKUP($A82,tblObjectifs[cle_dashboard],tblObjectifs[date_objectif])-$B82)/7,""))</f>
        <v/>
      </c>
      <c r="L82" s="20">
        <f>IF($A82="","",IFS(C82&lt;=1,"",AND(K82&lt;&gt;"",K82&lt;=3),"affutage",G82="allegee","en_cours",AND(H82&lt;&gt;"",H82&gt;=IF(R82&lt;=2,5,3),C82&gt;=IF(R82&lt;=2,2,3)),"due",AND(F82&lt;&gt;"",F82&gt;0.1),"volume_+10%",AND(E82&lt;&gt;"",E82&gt;=8,P82&lt;&gt;"",P82&gt;=8),"rpe_2sem",Q82&gt;=2,"trop_casse",TRUE,""))</f>
        <v/>
      </c>
      <c r="M82" s="20">
        <f>IF($A82="","",IFS(AND(K82&lt;&gt;"",K82&lt;=3),"pas_maintenant",G82="allegee","attendre_fin_deload",AND(E82&lt;&gt;"",E82&gt;=8),"pas_maintenant",AND(I82&lt;&gt;"",I82&gt;=5,J82&lt;&gt;"",J82&gt;=7),"tester_A_et_B",AND(I82&lt;&gt;"",I82&gt;=5),"tester_A",AND(J82&lt;&gt;"",J82&gt;=7),"tester_B",TRUE,""))</f>
        <v/>
      </c>
      <c r="N82" s="22">
        <f>IF($A82="","",TEXTJOIN(" · ",TRUE,IF(L82="due","Deload cette semaine (−30% vol, RPE≤6, pas de max)",""),IF(L82="en_cours","Deload en cours — garder le leger",""),IF(L82="volume_+10%","Volume +10% vs S-1 — alleger S+1",""),IF(L82="rpe_2sem","RPE eleve 2 sem — alleger maintenant",""),IF(L82="trop_casse","Trop de seances cassees — recup cette semaine",""),IF(L82="affutage","Affutage : plus de max, allure de course",""),IF(M82="tester_A","Retest A (T50+T100) apres une seance facile",""),IF(M82="tester_B","Retest B (T200+T400) a frais",""),IF(M82="tester_A_et_B","Retest A cette sem, B la suivante",""),IF(M82="attendre_fin_deload","Retest apres le deload, pas pendant",""),IF(M82="pas_maintenant","Pas de test a fond",""),IF(AND(L82="",M82=""),"Charge OK — semaine normale","")))</f>
        <v/>
      </c>
      <c r="O82" s="20">
        <f>IF($A82="","",SUMIFS(tblSeances[volume_m],tblSeances[id_nageur],$A82,tblSeances[lundi],$B82-7,tblSeances[faite],"oui"))</f>
        <v/>
      </c>
      <c r="P82" s="23">
        <f>IF($A82="","",IFERROR(AVERAGEIFS(tblSeances[rpe],tblSeances[id_nageur],$A82,tblSeances[lundi],$B82-7,tblSeances[faite],"oui"),""))</f>
        <v/>
      </c>
      <c r="Q82" s="20">
        <f>IF($A82="","",COUNTIFS(tblSeances[id_nageur],$A82,tblSeances[lundi],$B82,tblSeances[qualite],"casse"))</f>
        <v/>
      </c>
      <c r="R82" s="20">
        <f>IF($A82="","",IFERROR(INDEX(tblNageurs[seances_sem],MATCH($A82,tblNageurs[id],0)),3))</f>
        <v/>
      </c>
    </row>
    <row r="84">
      <c r="A84" s="26" t="inlineStr">
        <is>
          <t>Saisie uniquement dans SEANCES. Ici tout est calculé. nb_seances = séances faites (oui). Max 5 / semaine. Exemples N001–N003 : 8 semaines d’historique pour voir deload et retest.</t>
        </is>
      </c>
    </row>
  </sheetData>
  <mergeCells count="2">
    <mergeCell ref="A84:N84"/>
    <mergeCell ref="A1:N1"/>
  </mergeCells>
  <conditionalFormatting sqref="L3:L82">
    <cfRule type="expression" priority="1" dxfId="0">
      <formula>L3="due"</formula>
    </cfRule>
    <cfRule type="expression" priority="2" dxfId="1">
      <formula>L3="en_cours"</formula>
    </cfRule>
    <cfRule type="expression" priority="3" dxfId="1">
      <formula>L3="volume_+10%"</formula>
    </cfRule>
    <cfRule type="expression" priority="4" dxfId="2">
      <formula>L3="affutage"</formula>
    </cfRule>
  </conditionalFormatting>
  <conditionalFormatting sqref="M3:M82">
    <cfRule type="expression" priority="5" dxfId="1">
      <formula>LEFT(M3,6)="tester"</formula>
    </cfRule>
  </conditionalFormatting>
  <conditionalFormatting sqref="F3:F82">
    <cfRule type="cellIs" priority="6" operator="greaterThan" dxfId="1">
      <formula>0.1</formula>
    </cfRule>
  </conditionalFormatting>
  <conditionalFormatting sqref="C3:C82">
    <cfRule type="cellIs" priority="7" operator="greaterThan" dxfId="0">
      <formula>5</formula>
    </cfRule>
  </conditionalFormatting>
  <pageMargins left="0.4" right="0.4" top="0.5" bottom="0.4" header="0.5" footer="0.5"/>
  <pageSetup orientation="landscape" fitToHeight="1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3D8FFF"/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8" max="8"/>
    <col width="12" customWidth="1" min="9" max="9"/>
  </cols>
  <sheetData>
    <row r="1">
      <c r="A1" s="31" t="inlineStr">
        <is>
          <t>Historique T100 valides (se remplit tout seul) + courbe d’exemple Léa N001</t>
        </is>
      </c>
      <c r="B1" s="2" t="n"/>
      <c r="C1" s="2" t="n"/>
      <c r="D1" s="2" t="n"/>
      <c r="E1" s="2" t="n"/>
      <c r="F1" s="2" t="n"/>
      <c r="H1" s="36" t="inlineStr">
        <is>
          <t>N001 T100 crawl — source graphique</t>
        </is>
      </c>
      <c r="I1" s="5" t="n"/>
    </row>
    <row r="2" ht="30" customHeight="1">
      <c r="A2" s="27" t="inlineStr">
        <is>
          <t>id_nageur</t>
        </is>
      </c>
      <c r="B2" s="27" t="inlineStr">
        <is>
          <t>prenom</t>
        </is>
      </c>
      <c r="C2" s="27" t="inlineStr">
        <is>
          <t>date</t>
        </is>
      </c>
      <c r="D2" s="27" t="inlineStr">
        <is>
          <t>nage</t>
        </is>
      </c>
      <c r="E2" s="27" t="inlineStr">
        <is>
          <t>temps_sec</t>
        </is>
      </c>
      <c r="F2" s="27" t="inlineStr">
        <is>
          <t>temps</t>
        </is>
      </c>
      <c r="H2" s="7" t="inlineStr">
        <is>
          <t>date</t>
        </is>
      </c>
      <c r="I2" s="7" t="inlineStr">
        <is>
          <t>T100 (s)</t>
        </is>
      </c>
    </row>
    <row r="3">
      <c r="A3" s="13">
        <f>IFERROR(FILTER(tblTests[id_nageur],(tblTests[protocole]="T100")*(tblTests[valide]="oui")),"")</f>
        <v/>
      </c>
      <c r="B3" s="13">
        <f>IF(A3="","",IFERROR(XLOOKUP(A3,tblNageurs[id],tblNageurs[prenom]),""))</f>
        <v/>
      </c>
      <c r="C3" s="14">
        <f>IFERROR(FILTER(tblTests[date],(tblTests[protocole]="T100")*(tblTests[valide]="oui")),"")</f>
        <v/>
      </c>
      <c r="D3" s="13">
        <f>IFERROR(FILTER(tblTests[nage],(tblTests[protocole]="T100")*(tblTests[valide]="oui")),"")</f>
        <v/>
      </c>
      <c r="E3" s="19">
        <f>IFERROR(FILTER(tblTests[temps_sec],(tblTests[protocole]="T100")*(tblTests[valide]="oui")),"")</f>
        <v/>
      </c>
      <c r="F3" s="13">
        <f>IF(E3="","",INT(E3/60)&amp;":"&amp;TEXT(MOD(E3,60),"00.00"))</f>
        <v/>
      </c>
      <c r="H3" s="30" t="n">
        <v>46096</v>
      </c>
      <c r="I3" s="37" t="n">
        <v>76.2</v>
      </c>
    </row>
    <row r="4">
      <c r="H4" s="30" t="n">
        <v>46152</v>
      </c>
      <c r="I4" s="37" t="n">
        <v>74.8</v>
      </c>
    </row>
    <row r="5">
      <c r="H5" s="30" t="n">
        <v>46223</v>
      </c>
      <c r="I5" s="37" t="n">
        <v>73.40000000000001</v>
      </c>
    </row>
    <row r="20">
      <c r="A20" s="38" t="inlineStr">
        <is>
          <t>Le tableau A:F se remplit avec FILTER (Excel 365) dès que tu ajoutes des T100 valides. Le graphique d’exemple est calé sur Léa (N001, points H3:I5). Pour un autre nageur, change les dates/temps dans H:I d’après l’onglet TESTS.</t>
        </is>
      </c>
    </row>
    <row r="21"/>
    <row r="22"/>
  </sheetData>
  <mergeCells count="3">
    <mergeCell ref="A1:F1"/>
    <mergeCell ref="A20:F22"/>
    <mergeCell ref="H1:I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5B6B7C"/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8" customWidth="1" min="5" max="5"/>
    <col width="16" customWidth="1" min="6" max="6"/>
    <col width="16" customWidth="1" min="7" max="7"/>
    <col width="14" customWidth="1" min="8" max="8"/>
    <col width="12" customWidth="1" min="9" max="9"/>
    <col width="18" customWidth="1" min="10" max="10"/>
    <col width="16" customWidth="1" min="11" max="11"/>
    <col width="28" customWidth="1" min="12" max="12"/>
    <col width="12" customWidth="1" min="13" max="13"/>
    <col width="14" customWidth="1" min="14" max="14"/>
    <col width="22" customWidth="1" min="15" max="15"/>
  </cols>
  <sheetData>
    <row r="1" ht="30" customHeight="1">
      <c r="A1" s="27" t="inlineStr">
        <is>
          <t>id</t>
        </is>
      </c>
      <c r="B1" s="27" t="inlineStr">
        <is>
          <t>prenom</t>
        </is>
      </c>
      <c r="C1" s="27" t="inlineStr">
        <is>
          <t>nom</t>
        </is>
      </c>
      <c r="D1" s="27" t="inlineStr">
        <is>
          <t>niveau</t>
        </is>
      </c>
      <c r="E1" s="27" t="inlineStr">
        <is>
          <t>pool</t>
        </is>
      </c>
      <c r="F1" s="27" t="inlineStr">
        <is>
          <t>sessionsPerWeek</t>
        </is>
      </c>
      <c r="G1" s="27" t="inlineStr">
        <is>
          <t>objectifV1</t>
        </is>
      </c>
      <c r="H1" s="27" t="inlineStr">
        <is>
          <t>raceDistance</t>
        </is>
      </c>
      <c r="I1" s="27" t="inlineStr">
        <is>
          <t>raceStroke</t>
        </is>
      </c>
      <c r="J1" s="27" t="inlineStr">
        <is>
          <t>raceTargetTimeSec</t>
        </is>
      </c>
      <c r="K1" s="27" t="inlineStr">
        <is>
          <t>competitionDate</t>
        </is>
      </c>
      <c r="L1" s="27" t="inlineStr">
        <is>
          <t>lieu</t>
        </is>
      </c>
      <c r="M1" s="27" t="inlineStr">
        <is>
          <t>pace100</t>
        </is>
      </c>
      <c r="N1" s="27" t="inlineStr">
        <is>
          <t>injuryStatus</t>
        </is>
      </c>
      <c r="O1" s="27" t="inlineStr">
        <is>
          <t>injuryNote</t>
        </is>
      </c>
    </row>
    <row r="2" ht="20" customHeight="1">
      <c r="A2" s="13">
        <f>IFERROR(IF(INDEX(tblNageurs[id],1)="","",INDEX(tblNageurs[id],1)),"")</f>
        <v/>
      </c>
      <c r="B2" s="13">
        <f>IF($A2="","",IFERROR(INDEX(tblNageurs[prenom],1),""))</f>
        <v/>
      </c>
      <c r="C2" s="13">
        <f>IF($A2="","",IFERROR(INDEX(tblNageurs[nom],1),""))</f>
        <v/>
      </c>
      <c r="D2" s="13">
        <f>IF($A2="","",IFERROR(INDEX(tblNageurs[niveau],1),""))</f>
        <v/>
      </c>
      <c r="E2" s="13">
        <f>IF($A2="","",IFERROR(INDEX(tblNageurs[bassin],1),""))</f>
        <v/>
      </c>
      <c r="F2" s="13">
        <f>IF($A2="","",IFERROR(INDEX(tblNageurs[seances_sem],1),""))</f>
        <v/>
      </c>
      <c r="G2" s="13">
        <f>IF($A2="","",IFERROR(XLOOKUP($A2,tblObjectifs[cle_dashboard],tblObjectifs[discipline],""),""))</f>
        <v/>
      </c>
      <c r="H2" s="13">
        <f>IF($A2="","",IFERROR(XLOOKUP($A2,tblObjectifs[cle_dashboard],tblObjectifs[distance_m],""),""))</f>
        <v/>
      </c>
      <c r="I2" s="13">
        <f>IF($A2="","",IFERROR(XLOOKUP($A2,tblObjectifs[cle_dashboard],tblObjectifs[nage],""),""))</f>
        <v/>
      </c>
      <c r="J2" s="19">
        <f>IF($A2="","",IFERROR(XLOOKUP($A2,tblObjectifs[cle_dashboard],tblObjectifs[temps_cible_sec],""),""))</f>
        <v/>
      </c>
      <c r="K2" s="14">
        <f>IF($A2="","",IFERROR(XLOOKUP($A2,tblObjectifs[cle_dashboard],tblObjectifs[date_objectif],""),""))</f>
        <v/>
      </c>
      <c r="L2" s="13">
        <f>IF($A2="","",IFERROR(XLOOKUP($A2,tblObjectifs[cle_dashboard],tblObjectifs[lieu],""),""))</f>
        <v/>
      </c>
      <c r="M2" s="16">
        <f>IF($A2="","",IFERROR(INDEX(DASHBOARD!V:V,MATCH($A2,DASHBOARD!A:A,0)),""))</f>
        <v/>
      </c>
      <c r="N2" s="13">
        <f>IF($A2="","",IFERROR(INDEX(tblNageurs[blessure],1),""))</f>
        <v/>
      </c>
      <c r="O2" s="13">
        <f>IF($A2="","",IFERROR(INDEX(tblNageurs[note_contrainte],1),""))</f>
        <v/>
      </c>
    </row>
    <row r="3" ht="20" customHeight="1">
      <c r="A3" s="13">
        <f>IFERROR(IF(INDEX(tblNageurs[id],2)="","",INDEX(tblNageurs[id],2)),"")</f>
        <v/>
      </c>
      <c r="B3" s="13">
        <f>IF($A3="","",IFERROR(INDEX(tblNageurs[prenom],2),""))</f>
        <v/>
      </c>
      <c r="C3" s="13">
        <f>IF($A3="","",IFERROR(INDEX(tblNageurs[nom],2),""))</f>
        <v/>
      </c>
      <c r="D3" s="13">
        <f>IF($A3="","",IFERROR(INDEX(tblNageurs[niveau],2),""))</f>
        <v/>
      </c>
      <c r="E3" s="13">
        <f>IF($A3="","",IFERROR(INDEX(tblNageurs[bassin],2),""))</f>
        <v/>
      </c>
      <c r="F3" s="13">
        <f>IF($A3="","",IFERROR(INDEX(tblNageurs[seances_sem],2),""))</f>
        <v/>
      </c>
      <c r="G3" s="13">
        <f>IF($A3="","",IFERROR(XLOOKUP($A3,tblObjectifs[cle_dashboard],tblObjectifs[discipline],""),""))</f>
        <v/>
      </c>
      <c r="H3" s="13">
        <f>IF($A3="","",IFERROR(XLOOKUP($A3,tblObjectifs[cle_dashboard],tblObjectifs[distance_m],""),""))</f>
        <v/>
      </c>
      <c r="I3" s="13">
        <f>IF($A3="","",IFERROR(XLOOKUP($A3,tblObjectifs[cle_dashboard],tblObjectifs[nage],""),""))</f>
        <v/>
      </c>
      <c r="J3" s="19">
        <f>IF($A3="","",IFERROR(XLOOKUP($A3,tblObjectifs[cle_dashboard],tblObjectifs[temps_cible_sec],""),""))</f>
        <v/>
      </c>
      <c r="K3" s="14">
        <f>IF($A3="","",IFERROR(XLOOKUP($A3,tblObjectifs[cle_dashboard],tblObjectifs[date_objectif],""),""))</f>
        <v/>
      </c>
      <c r="L3" s="13">
        <f>IF($A3="","",IFERROR(XLOOKUP($A3,tblObjectifs[cle_dashboard],tblObjectifs[lieu],""),""))</f>
        <v/>
      </c>
      <c r="M3" s="16">
        <f>IF($A3="","",IFERROR(INDEX(DASHBOARD!V:V,MATCH($A3,DASHBOARD!A:A,0)),""))</f>
        <v/>
      </c>
      <c r="N3" s="13">
        <f>IF($A3="","",IFERROR(INDEX(tblNageurs[blessure],2),""))</f>
        <v/>
      </c>
      <c r="O3" s="13">
        <f>IF($A3="","",IFERROR(INDEX(tblNageurs[note_contrainte],2),""))</f>
        <v/>
      </c>
    </row>
    <row r="4" ht="20" customHeight="1">
      <c r="A4" s="13">
        <f>IFERROR(IF(INDEX(tblNageurs[id],3)="","",INDEX(tblNageurs[id],3)),"")</f>
        <v/>
      </c>
      <c r="B4" s="13">
        <f>IF($A4="","",IFERROR(INDEX(tblNageurs[prenom],3),""))</f>
        <v/>
      </c>
      <c r="C4" s="13">
        <f>IF($A4="","",IFERROR(INDEX(tblNageurs[nom],3),""))</f>
        <v/>
      </c>
      <c r="D4" s="13">
        <f>IF($A4="","",IFERROR(INDEX(tblNageurs[niveau],3),""))</f>
        <v/>
      </c>
      <c r="E4" s="13">
        <f>IF($A4="","",IFERROR(INDEX(tblNageurs[bassin],3),""))</f>
        <v/>
      </c>
      <c r="F4" s="13">
        <f>IF($A4="","",IFERROR(INDEX(tblNageurs[seances_sem],3),""))</f>
        <v/>
      </c>
      <c r="G4" s="13">
        <f>IF($A4="","",IFERROR(XLOOKUP($A4,tblObjectifs[cle_dashboard],tblObjectifs[discipline],""),""))</f>
        <v/>
      </c>
      <c r="H4" s="13">
        <f>IF($A4="","",IFERROR(XLOOKUP($A4,tblObjectifs[cle_dashboard],tblObjectifs[distance_m],""),""))</f>
        <v/>
      </c>
      <c r="I4" s="13">
        <f>IF($A4="","",IFERROR(XLOOKUP($A4,tblObjectifs[cle_dashboard],tblObjectifs[nage],""),""))</f>
        <v/>
      </c>
      <c r="J4" s="19">
        <f>IF($A4="","",IFERROR(XLOOKUP($A4,tblObjectifs[cle_dashboard],tblObjectifs[temps_cible_sec],""),""))</f>
        <v/>
      </c>
      <c r="K4" s="14">
        <f>IF($A4="","",IFERROR(XLOOKUP($A4,tblObjectifs[cle_dashboard],tblObjectifs[date_objectif],""),""))</f>
        <v/>
      </c>
      <c r="L4" s="13">
        <f>IF($A4="","",IFERROR(XLOOKUP($A4,tblObjectifs[cle_dashboard],tblObjectifs[lieu],""),""))</f>
        <v/>
      </c>
      <c r="M4" s="16">
        <f>IF($A4="","",IFERROR(INDEX(DASHBOARD!V:V,MATCH($A4,DASHBOARD!A:A,0)),""))</f>
        <v/>
      </c>
      <c r="N4" s="13">
        <f>IF($A4="","",IFERROR(INDEX(tblNageurs[blessure],3),""))</f>
        <v/>
      </c>
      <c r="O4" s="13">
        <f>IF($A4="","",IFERROR(INDEX(tblNageurs[note_contrainte],3),""))</f>
        <v/>
      </c>
    </row>
    <row r="5" ht="20" customHeight="1">
      <c r="A5" s="13">
        <f>IFERROR(IF(INDEX(tblNageurs[id],4)="","",INDEX(tblNageurs[id],4)),"")</f>
        <v/>
      </c>
      <c r="B5" s="13">
        <f>IF($A5="","",IFERROR(INDEX(tblNageurs[prenom],4),""))</f>
        <v/>
      </c>
      <c r="C5" s="13">
        <f>IF($A5="","",IFERROR(INDEX(tblNageurs[nom],4),""))</f>
        <v/>
      </c>
      <c r="D5" s="13">
        <f>IF($A5="","",IFERROR(INDEX(tblNageurs[niveau],4),""))</f>
        <v/>
      </c>
      <c r="E5" s="13">
        <f>IF($A5="","",IFERROR(INDEX(tblNageurs[bassin],4),""))</f>
        <v/>
      </c>
      <c r="F5" s="13">
        <f>IF($A5="","",IFERROR(INDEX(tblNageurs[seances_sem],4),""))</f>
        <v/>
      </c>
      <c r="G5" s="13">
        <f>IF($A5="","",IFERROR(XLOOKUP($A5,tblObjectifs[cle_dashboard],tblObjectifs[discipline],""),""))</f>
        <v/>
      </c>
      <c r="H5" s="13">
        <f>IF($A5="","",IFERROR(XLOOKUP($A5,tblObjectifs[cle_dashboard],tblObjectifs[distance_m],""),""))</f>
        <v/>
      </c>
      <c r="I5" s="13">
        <f>IF($A5="","",IFERROR(XLOOKUP($A5,tblObjectifs[cle_dashboard],tblObjectifs[nage],""),""))</f>
        <v/>
      </c>
      <c r="J5" s="19">
        <f>IF($A5="","",IFERROR(XLOOKUP($A5,tblObjectifs[cle_dashboard],tblObjectifs[temps_cible_sec],""),""))</f>
        <v/>
      </c>
      <c r="K5" s="14">
        <f>IF($A5="","",IFERROR(XLOOKUP($A5,tblObjectifs[cle_dashboard],tblObjectifs[date_objectif],""),""))</f>
        <v/>
      </c>
      <c r="L5" s="13">
        <f>IF($A5="","",IFERROR(XLOOKUP($A5,tblObjectifs[cle_dashboard],tblObjectifs[lieu],""),""))</f>
        <v/>
      </c>
      <c r="M5" s="16">
        <f>IF($A5="","",IFERROR(INDEX(DASHBOARD!V:V,MATCH($A5,DASHBOARD!A:A,0)),""))</f>
        <v/>
      </c>
      <c r="N5" s="13">
        <f>IF($A5="","",IFERROR(INDEX(tblNageurs[blessure],4),""))</f>
        <v/>
      </c>
      <c r="O5" s="13">
        <f>IF($A5="","",IFERROR(INDEX(tblNageurs[note_contrainte],4),""))</f>
        <v/>
      </c>
    </row>
    <row r="6" ht="20" customHeight="1">
      <c r="A6" s="13">
        <f>IFERROR(IF(INDEX(tblNageurs[id],5)="","",INDEX(tblNageurs[id],5)),"")</f>
        <v/>
      </c>
      <c r="B6" s="13">
        <f>IF($A6="","",IFERROR(INDEX(tblNageurs[prenom],5),""))</f>
        <v/>
      </c>
      <c r="C6" s="13">
        <f>IF($A6="","",IFERROR(INDEX(tblNageurs[nom],5),""))</f>
        <v/>
      </c>
      <c r="D6" s="13">
        <f>IF($A6="","",IFERROR(INDEX(tblNageurs[niveau],5),""))</f>
        <v/>
      </c>
      <c r="E6" s="13">
        <f>IF($A6="","",IFERROR(INDEX(tblNageurs[bassin],5),""))</f>
        <v/>
      </c>
      <c r="F6" s="13">
        <f>IF($A6="","",IFERROR(INDEX(tblNageurs[seances_sem],5),""))</f>
        <v/>
      </c>
      <c r="G6" s="13">
        <f>IF($A6="","",IFERROR(XLOOKUP($A6,tblObjectifs[cle_dashboard],tblObjectifs[discipline],""),""))</f>
        <v/>
      </c>
      <c r="H6" s="13">
        <f>IF($A6="","",IFERROR(XLOOKUP($A6,tblObjectifs[cle_dashboard],tblObjectifs[distance_m],""),""))</f>
        <v/>
      </c>
      <c r="I6" s="13">
        <f>IF($A6="","",IFERROR(XLOOKUP($A6,tblObjectifs[cle_dashboard],tblObjectifs[nage],""),""))</f>
        <v/>
      </c>
      <c r="J6" s="19">
        <f>IF($A6="","",IFERROR(XLOOKUP($A6,tblObjectifs[cle_dashboard],tblObjectifs[temps_cible_sec],""),""))</f>
        <v/>
      </c>
      <c r="K6" s="14">
        <f>IF($A6="","",IFERROR(XLOOKUP($A6,tblObjectifs[cle_dashboard],tblObjectifs[date_objectif],""),""))</f>
        <v/>
      </c>
      <c r="L6" s="13">
        <f>IF($A6="","",IFERROR(XLOOKUP($A6,tblObjectifs[cle_dashboard],tblObjectifs[lieu],""),""))</f>
        <v/>
      </c>
      <c r="M6" s="16">
        <f>IF($A6="","",IFERROR(INDEX(DASHBOARD!V:V,MATCH($A6,DASHBOARD!A:A,0)),""))</f>
        <v/>
      </c>
      <c r="N6" s="13">
        <f>IF($A6="","",IFERROR(INDEX(tblNageurs[blessure],5),""))</f>
        <v/>
      </c>
      <c r="O6" s="13">
        <f>IF($A6="","",IFERROR(INDEX(tblNageurs[note_contrainte],5),""))</f>
        <v/>
      </c>
    </row>
    <row r="7" ht="20" customHeight="1">
      <c r="A7" s="13">
        <f>IFERROR(IF(INDEX(tblNageurs[id],6)="","",INDEX(tblNageurs[id],6)),"")</f>
        <v/>
      </c>
      <c r="B7" s="13">
        <f>IF($A7="","",IFERROR(INDEX(tblNageurs[prenom],6),""))</f>
        <v/>
      </c>
      <c r="C7" s="13">
        <f>IF($A7="","",IFERROR(INDEX(tblNageurs[nom],6),""))</f>
        <v/>
      </c>
      <c r="D7" s="13">
        <f>IF($A7="","",IFERROR(INDEX(tblNageurs[niveau],6),""))</f>
        <v/>
      </c>
      <c r="E7" s="13">
        <f>IF($A7="","",IFERROR(INDEX(tblNageurs[bassin],6),""))</f>
        <v/>
      </c>
      <c r="F7" s="13">
        <f>IF($A7="","",IFERROR(INDEX(tblNageurs[seances_sem],6),""))</f>
        <v/>
      </c>
      <c r="G7" s="13">
        <f>IF($A7="","",IFERROR(XLOOKUP($A7,tblObjectifs[cle_dashboard],tblObjectifs[discipline],""),""))</f>
        <v/>
      </c>
      <c r="H7" s="13">
        <f>IF($A7="","",IFERROR(XLOOKUP($A7,tblObjectifs[cle_dashboard],tblObjectifs[distance_m],""),""))</f>
        <v/>
      </c>
      <c r="I7" s="13">
        <f>IF($A7="","",IFERROR(XLOOKUP($A7,tblObjectifs[cle_dashboard],tblObjectifs[nage],""),""))</f>
        <v/>
      </c>
      <c r="J7" s="19">
        <f>IF($A7="","",IFERROR(XLOOKUP($A7,tblObjectifs[cle_dashboard],tblObjectifs[temps_cible_sec],""),""))</f>
        <v/>
      </c>
      <c r="K7" s="14">
        <f>IF($A7="","",IFERROR(XLOOKUP($A7,tblObjectifs[cle_dashboard],tblObjectifs[date_objectif],""),""))</f>
        <v/>
      </c>
      <c r="L7" s="13">
        <f>IF($A7="","",IFERROR(XLOOKUP($A7,tblObjectifs[cle_dashboard],tblObjectifs[lieu],""),""))</f>
        <v/>
      </c>
      <c r="M7" s="16">
        <f>IF($A7="","",IFERROR(INDEX(DASHBOARD!V:V,MATCH($A7,DASHBOARD!A:A,0)),""))</f>
        <v/>
      </c>
      <c r="N7" s="13">
        <f>IF($A7="","",IFERROR(INDEX(tblNageurs[blessure],6),""))</f>
        <v/>
      </c>
      <c r="O7" s="13">
        <f>IF($A7="","",IFERROR(INDEX(tblNageurs[note_contrainte],6),""))</f>
        <v/>
      </c>
    </row>
    <row r="8" ht="20" customHeight="1">
      <c r="A8" s="13">
        <f>IFERROR(IF(INDEX(tblNageurs[id],7)="","",INDEX(tblNageurs[id],7)),"")</f>
        <v/>
      </c>
      <c r="B8" s="13">
        <f>IF($A8="","",IFERROR(INDEX(tblNageurs[prenom],7),""))</f>
        <v/>
      </c>
      <c r="C8" s="13">
        <f>IF($A8="","",IFERROR(INDEX(tblNageurs[nom],7),""))</f>
        <v/>
      </c>
      <c r="D8" s="13">
        <f>IF($A8="","",IFERROR(INDEX(tblNageurs[niveau],7),""))</f>
        <v/>
      </c>
      <c r="E8" s="13">
        <f>IF($A8="","",IFERROR(INDEX(tblNageurs[bassin],7),""))</f>
        <v/>
      </c>
      <c r="F8" s="13">
        <f>IF($A8="","",IFERROR(INDEX(tblNageurs[seances_sem],7),""))</f>
        <v/>
      </c>
      <c r="G8" s="13">
        <f>IF($A8="","",IFERROR(XLOOKUP($A8,tblObjectifs[cle_dashboard],tblObjectifs[discipline],""),""))</f>
        <v/>
      </c>
      <c r="H8" s="13">
        <f>IF($A8="","",IFERROR(XLOOKUP($A8,tblObjectifs[cle_dashboard],tblObjectifs[distance_m],""),""))</f>
        <v/>
      </c>
      <c r="I8" s="13">
        <f>IF($A8="","",IFERROR(XLOOKUP($A8,tblObjectifs[cle_dashboard],tblObjectifs[nage],""),""))</f>
        <v/>
      </c>
      <c r="J8" s="19">
        <f>IF($A8="","",IFERROR(XLOOKUP($A8,tblObjectifs[cle_dashboard],tblObjectifs[temps_cible_sec],""),""))</f>
        <v/>
      </c>
      <c r="K8" s="14">
        <f>IF($A8="","",IFERROR(XLOOKUP($A8,tblObjectifs[cle_dashboard],tblObjectifs[date_objectif],""),""))</f>
        <v/>
      </c>
      <c r="L8" s="13">
        <f>IF($A8="","",IFERROR(XLOOKUP($A8,tblObjectifs[cle_dashboard],tblObjectifs[lieu],""),""))</f>
        <v/>
      </c>
      <c r="M8" s="16">
        <f>IF($A8="","",IFERROR(INDEX(DASHBOARD!V:V,MATCH($A8,DASHBOARD!A:A,0)),""))</f>
        <v/>
      </c>
      <c r="N8" s="13">
        <f>IF($A8="","",IFERROR(INDEX(tblNageurs[blessure],7),""))</f>
        <v/>
      </c>
      <c r="O8" s="13">
        <f>IF($A8="","",IFERROR(INDEX(tblNageurs[note_contrainte],7),""))</f>
        <v/>
      </c>
    </row>
    <row r="9" ht="20" customHeight="1">
      <c r="A9" s="13">
        <f>IFERROR(IF(INDEX(tblNageurs[id],8)="","",INDEX(tblNageurs[id],8)),"")</f>
        <v/>
      </c>
      <c r="B9" s="13">
        <f>IF($A9="","",IFERROR(INDEX(tblNageurs[prenom],8),""))</f>
        <v/>
      </c>
      <c r="C9" s="13">
        <f>IF($A9="","",IFERROR(INDEX(tblNageurs[nom],8),""))</f>
        <v/>
      </c>
      <c r="D9" s="13">
        <f>IF($A9="","",IFERROR(INDEX(tblNageurs[niveau],8),""))</f>
        <v/>
      </c>
      <c r="E9" s="13">
        <f>IF($A9="","",IFERROR(INDEX(tblNageurs[bassin],8),""))</f>
        <v/>
      </c>
      <c r="F9" s="13">
        <f>IF($A9="","",IFERROR(INDEX(tblNageurs[seances_sem],8),""))</f>
        <v/>
      </c>
      <c r="G9" s="13">
        <f>IF($A9="","",IFERROR(XLOOKUP($A9,tblObjectifs[cle_dashboard],tblObjectifs[discipline],""),""))</f>
        <v/>
      </c>
      <c r="H9" s="13">
        <f>IF($A9="","",IFERROR(XLOOKUP($A9,tblObjectifs[cle_dashboard],tblObjectifs[distance_m],""),""))</f>
        <v/>
      </c>
      <c r="I9" s="13">
        <f>IF($A9="","",IFERROR(XLOOKUP($A9,tblObjectifs[cle_dashboard],tblObjectifs[nage],""),""))</f>
        <v/>
      </c>
      <c r="J9" s="19">
        <f>IF($A9="","",IFERROR(XLOOKUP($A9,tblObjectifs[cle_dashboard],tblObjectifs[temps_cible_sec],""),""))</f>
        <v/>
      </c>
      <c r="K9" s="14">
        <f>IF($A9="","",IFERROR(XLOOKUP($A9,tblObjectifs[cle_dashboard],tblObjectifs[date_objectif],""),""))</f>
        <v/>
      </c>
      <c r="L9" s="13">
        <f>IF($A9="","",IFERROR(XLOOKUP($A9,tblObjectifs[cle_dashboard],tblObjectifs[lieu],""),""))</f>
        <v/>
      </c>
      <c r="M9" s="16">
        <f>IF($A9="","",IFERROR(INDEX(DASHBOARD!V:V,MATCH($A9,DASHBOARD!A:A,0)),""))</f>
        <v/>
      </c>
      <c r="N9" s="13">
        <f>IF($A9="","",IFERROR(INDEX(tblNageurs[blessure],8),""))</f>
        <v/>
      </c>
      <c r="O9" s="13">
        <f>IF($A9="","",IFERROR(INDEX(tblNageurs[note_contrainte],8),""))</f>
        <v/>
      </c>
    </row>
    <row r="10" ht="20" customHeight="1">
      <c r="A10" s="13">
        <f>IFERROR(IF(INDEX(tblNageurs[id],9)="","",INDEX(tblNageurs[id],9)),"")</f>
        <v/>
      </c>
      <c r="B10" s="13">
        <f>IF($A10="","",IFERROR(INDEX(tblNageurs[prenom],9),""))</f>
        <v/>
      </c>
      <c r="C10" s="13">
        <f>IF($A10="","",IFERROR(INDEX(tblNageurs[nom],9),""))</f>
        <v/>
      </c>
      <c r="D10" s="13">
        <f>IF($A10="","",IFERROR(INDEX(tblNageurs[niveau],9),""))</f>
        <v/>
      </c>
      <c r="E10" s="13">
        <f>IF($A10="","",IFERROR(INDEX(tblNageurs[bassin],9),""))</f>
        <v/>
      </c>
      <c r="F10" s="13">
        <f>IF($A10="","",IFERROR(INDEX(tblNageurs[seances_sem],9),""))</f>
        <v/>
      </c>
      <c r="G10" s="13">
        <f>IF($A10="","",IFERROR(XLOOKUP($A10,tblObjectifs[cle_dashboard],tblObjectifs[discipline],""),""))</f>
        <v/>
      </c>
      <c r="H10" s="13">
        <f>IF($A10="","",IFERROR(XLOOKUP($A10,tblObjectifs[cle_dashboard],tblObjectifs[distance_m],""),""))</f>
        <v/>
      </c>
      <c r="I10" s="13">
        <f>IF($A10="","",IFERROR(XLOOKUP($A10,tblObjectifs[cle_dashboard],tblObjectifs[nage],""),""))</f>
        <v/>
      </c>
      <c r="J10" s="19">
        <f>IF($A10="","",IFERROR(XLOOKUP($A10,tblObjectifs[cle_dashboard],tblObjectifs[temps_cible_sec],""),""))</f>
        <v/>
      </c>
      <c r="K10" s="14">
        <f>IF($A10="","",IFERROR(XLOOKUP($A10,tblObjectifs[cle_dashboard],tblObjectifs[date_objectif],""),""))</f>
        <v/>
      </c>
      <c r="L10" s="13">
        <f>IF($A10="","",IFERROR(XLOOKUP($A10,tblObjectifs[cle_dashboard],tblObjectifs[lieu],""),""))</f>
        <v/>
      </c>
      <c r="M10" s="16">
        <f>IF($A10="","",IFERROR(INDEX(DASHBOARD!V:V,MATCH($A10,DASHBOARD!A:A,0)),""))</f>
        <v/>
      </c>
      <c r="N10" s="13">
        <f>IF($A10="","",IFERROR(INDEX(tblNageurs[blessure],9),""))</f>
        <v/>
      </c>
      <c r="O10" s="13">
        <f>IF($A10="","",IFERROR(INDEX(tblNageurs[note_contrainte],9),""))</f>
        <v/>
      </c>
    </row>
    <row r="11" ht="20" customHeight="1">
      <c r="A11" s="13">
        <f>IFERROR(IF(INDEX(tblNageurs[id],10)="","",INDEX(tblNageurs[id],10)),"")</f>
        <v/>
      </c>
      <c r="B11" s="13">
        <f>IF($A11="","",IFERROR(INDEX(tblNageurs[prenom],10),""))</f>
        <v/>
      </c>
      <c r="C11" s="13">
        <f>IF($A11="","",IFERROR(INDEX(tblNageurs[nom],10),""))</f>
        <v/>
      </c>
      <c r="D11" s="13">
        <f>IF($A11="","",IFERROR(INDEX(tblNageurs[niveau],10),""))</f>
        <v/>
      </c>
      <c r="E11" s="13">
        <f>IF($A11="","",IFERROR(INDEX(tblNageurs[bassin],10),""))</f>
        <v/>
      </c>
      <c r="F11" s="13">
        <f>IF($A11="","",IFERROR(INDEX(tblNageurs[seances_sem],10),""))</f>
        <v/>
      </c>
      <c r="G11" s="13">
        <f>IF($A11="","",IFERROR(XLOOKUP($A11,tblObjectifs[cle_dashboard],tblObjectifs[discipline],""),""))</f>
        <v/>
      </c>
      <c r="H11" s="13">
        <f>IF($A11="","",IFERROR(XLOOKUP($A11,tblObjectifs[cle_dashboard],tblObjectifs[distance_m],""),""))</f>
        <v/>
      </c>
      <c r="I11" s="13">
        <f>IF($A11="","",IFERROR(XLOOKUP($A11,tblObjectifs[cle_dashboard],tblObjectifs[nage],""),""))</f>
        <v/>
      </c>
      <c r="J11" s="19">
        <f>IF($A11="","",IFERROR(XLOOKUP($A11,tblObjectifs[cle_dashboard],tblObjectifs[temps_cible_sec],""),""))</f>
        <v/>
      </c>
      <c r="K11" s="14">
        <f>IF($A11="","",IFERROR(XLOOKUP($A11,tblObjectifs[cle_dashboard],tblObjectifs[date_objectif],""),""))</f>
        <v/>
      </c>
      <c r="L11" s="13">
        <f>IF($A11="","",IFERROR(XLOOKUP($A11,tblObjectifs[cle_dashboard],tblObjectifs[lieu],""),""))</f>
        <v/>
      </c>
      <c r="M11" s="16">
        <f>IF($A11="","",IFERROR(INDEX(DASHBOARD!V:V,MATCH($A11,DASHBOARD!A:A,0)),""))</f>
        <v/>
      </c>
      <c r="N11" s="13">
        <f>IF($A11="","",IFERROR(INDEX(tblNageurs[blessure],10),""))</f>
        <v/>
      </c>
      <c r="O11" s="13">
        <f>IF($A11="","",IFERROR(INDEX(tblNageurs[note_contrainte],10),""))</f>
        <v/>
      </c>
    </row>
    <row r="12" ht="20" customHeight="1">
      <c r="A12" s="13">
        <f>IFERROR(IF(INDEX(tblNageurs[id],11)="","",INDEX(tblNageurs[id],11)),"")</f>
        <v/>
      </c>
      <c r="B12" s="13">
        <f>IF($A12="","",IFERROR(INDEX(tblNageurs[prenom],11),""))</f>
        <v/>
      </c>
      <c r="C12" s="13">
        <f>IF($A12="","",IFERROR(INDEX(tblNageurs[nom],11),""))</f>
        <v/>
      </c>
      <c r="D12" s="13">
        <f>IF($A12="","",IFERROR(INDEX(tblNageurs[niveau],11),""))</f>
        <v/>
      </c>
      <c r="E12" s="13">
        <f>IF($A12="","",IFERROR(INDEX(tblNageurs[bassin],11),""))</f>
        <v/>
      </c>
      <c r="F12" s="13">
        <f>IF($A12="","",IFERROR(INDEX(tblNageurs[seances_sem],11),""))</f>
        <v/>
      </c>
      <c r="G12" s="13">
        <f>IF($A12="","",IFERROR(XLOOKUP($A12,tblObjectifs[cle_dashboard],tblObjectifs[discipline],""),""))</f>
        <v/>
      </c>
      <c r="H12" s="13">
        <f>IF($A12="","",IFERROR(XLOOKUP($A12,tblObjectifs[cle_dashboard],tblObjectifs[distance_m],""),""))</f>
        <v/>
      </c>
      <c r="I12" s="13">
        <f>IF($A12="","",IFERROR(XLOOKUP($A12,tblObjectifs[cle_dashboard],tblObjectifs[nage],""),""))</f>
        <v/>
      </c>
      <c r="J12" s="19">
        <f>IF($A12="","",IFERROR(XLOOKUP($A12,tblObjectifs[cle_dashboard],tblObjectifs[temps_cible_sec],""),""))</f>
        <v/>
      </c>
      <c r="K12" s="14">
        <f>IF($A12="","",IFERROR(XLOOKUP($A12,tblObjectifs[cle_dashboard],tblObjectifs[date_objectif],""),""))</f>
        <v/>
      </c>
      <c r="L12" s="13">
        <f>IF($A12="","",IFERROR(XLOOKUP($A12,tblObjectifs[cle_dashboard],tblObjectifs[lieu],""),""))</f>
        <v/>
      </c>
      <c r="M12" s="16">
        <f>IF($A12="","",IFERROR(INDEX(DASHBOARD!V:V,MATCH($A12,DASHBOARD!A:A,0)),""))</f>
        <v/>
      </c>
      <c r="N12" s="13">
        <f>IF($A12="","",IFERROR(INDEX(tblNageurs[blessure],11),""))</f>
        <v/>
      </c>
      <c r="O12" s="13">
        <f>IF($A12="","",IFERROR(INDEX(tblNageurs[note_contrainte],11),""))</f>
        <v/>
      </c>
    </row>
    <row r="13" ht="20" customHeight="1">
      <c r="A13" s="13">
        <f>IFERROR(IF(INDEX(tblNageurs[id],12)="","",INDEX(tblNageurs[id],12)),"")</f>
        <v/>
      </c>
      <c r="B13" s="13">
        <f>IF($A13="","",IFERROR(INDEX(tblNageurs[prenom],12),""))</f>
        <v/>
      </c>
      <c r="C13" s="13">
        <f>IF($A13="","",IFERROR(INDEX(tblNageurs[nom],12),""))</f>
        <v/>
      </c>
      <c r="D13" s="13">
        <f>IF($A13="","",IFERROR(INDEX(tblNageurs[niveau],12),""))</f>
        <v/>
      </c>
      <c r="E13" s="13">
        <f>IF($A13="","",IFERROR(INDEX(tblNageurs[bassin],12),""))</f>
        <v/>
      </c>
      <c r="F13" s="13">
        <f>IF($A13="","",IFERROR(INDEX(tblNageurs[seances_sem],12),""))</f>
        <v/>
      </c>
      <c r="G13" s="13">
        <f>IF($A13="","",IFERROR(XLOOKUP($A13,tblObjectifs[cle_dashboard],tblObjectifs[discipline],""),""))</f>
        <v/>
      </c>
      <c r="H13" s="13">
        <f>IF($A13="","",IFERROR(XLOOKUP($A13,tblObjectifs[cle_dashboard],tblObjectifs[distance_m],""),""))</f>
        <v/>
      </c>
      <c r="I13" s="13">
        <f>IF($A13="","",IFERROR(XLOOKUP($A13,tblObjectifs[cle_dashboard],tblObjectifs[nage],""),""))</f>
        <v/>
      </c>
      <c r="J13" s="19">
        <f>IF($A13="","",IFERROR(XLOOKUP($A13,tblObjectifs[cle_dashboard],tblObjectifs[temps_cible_sec],""),""))</f>
        <v/>
      </c>
      <c r="K13" s="14">
        <f>IF($A13="","",IFERROR(XLOOKUP($A13,tblObjectifs[cle_dashboard],tblObjectifs[date_objectif],""),""))</f>
        <v/>
      </c>
      <c r="L13" s="13">
        <f>IF($A13="","",IFERROR(XLOOKUP($A13,tblObjectifs[cle_dashboard],tblObjectifs[lieu],""),""))</f>
        <v/>
      </c>
      <c r="M13" s="16">
        <f>IF($A13="","",IFERROR(INDEX(DASHBOARD!V:V,MATCH($A13,DASHBOARD!A:A,0)),""))</f>
        <v/>
      </c>
      <c r="N13" s="13">
        <f>IF($A13="","",IFERROR(INDEX(tblNageurs[blessure],12),""))</f>
        <v/>
      </c>
      <c r="O13" s="13">
        <f>IF($A13="","",IFERROR(INDEX(tblNageurs[note_contrainte],12),""))</f>
        <v/>
      </c>
    </row>
    <row r="14" ht="20" customHeight="1">
      <c r="A14" s="13">
        <f>IFERROR(IF(INDEX(tblNageurs[id],13)="","",INDEX(tblNageurs[id],13)),"")</f>
        <v/>
      </c>
      <c r="B14" s="13">
        <f>IF($A14="","",IFERROR(INDEX(tblNageurs[prenom],13),""))</f>
        <v/>
      </c>
      <c r="C14" s="13">
        <f>IF($A14="","",IFERROR(INDEX(tblNageurs[nom],13),""))</f>
        <v/>
      </c>
      <c r="D14" s="13">
        <f>IF($A14="","",IFERROR(INDEX(tblNageurs[niveau],13),""))</f>
        <v/>
      </c>
      <c r="E14" s="13">
        <f>IF($A14="","",IFERROR(INDEX(tblNageurs[bassin],13),""))</f>
        <v/>
      </c>
      <c r="F14" s="13">
        <f>IF($A14="","",IFERROR(INDEX(tblNageurs[seances_sem],13),""))</f>
        <v/>
      </c>
      <c r="G14" s="13">
        <f>IF($A14="","",IFERROR(XLOOKUP($A14,tblObjectifs[cle_dashboard],tblObjectifs[discipline],""),""))</f>
        <v/>
      </c>
      <c r="H14" s="13">
        <f>IF($A14="","",IFERROR(XLOOKUP($A14,tblObjectifs[cle_dashboard],tblObjectifs[distance_m],""),""))</f>
        <v/>
      </c>
      <c r="I14" s="13">
        <f>IF($A14="","",IFERROR(XLOOKUP($A14,tblObjectifs[cle_dashboard],tblObjectifs[nage],""),""))</f>
        <v/>
      </c>
      <c r="J14" s="19">
        <f>IF($A14="","",IFERROR(XLOOKUP($A14,tblObjectifs[cle_dashboard],tblObjectifs[temps_cible_sec],""),""))</f>
        <v/>
      </c>
      <c r="K14" s="14">
        <f>IF($A14="","",IFERROR(XLOOKUP($A14,tblObjectifs[cle_dashboard],tblObjectifs[date_objectif],""),""))</f>
        <v/>
      </c>
      <c r="L14" s="13">
        <f>IF($A14="","",IFERROR(XLOOKUP($A14,tblObjectifs[cle_dashboard],tblObjectifs[lieu],""),""))</f>
        <v/>
      </c>
      <c r="M14" s="16">
        <f>IF($A14="","",IFERROR(INDEX(DASHBOARD!V:V,MATCH($A14,DASHBOARD!A:A,0)),""))</f>
        <v/>
      </c>
      <c r="N14" s="13">
        <f>IF($A14="","",IFERROR(INDEX(tblNageurs[blessure],13),""))</f>
        <v/>
      </c>
      <c r="O14" s="13">
        <f>IF($A14="","",IFERROR(INDEX(tblNageurs[note_contrainte],13),""))</f>
        <v/>
      </c>
    </row>
    <row r="15" ht="20" customHeight="1">
      <c r="A15" s="13">
        <f>IFERROR(IF(INDEX(tblNageurs[id],14)="","",INDEX(tblNageurs[id],14)),"")</f>
        <v/>
      </c>
      <c r="B15" s="13">
        <f>IF($A15="","",IFERROR(INDEX(tblNageurs[prenom],14),""))</f>
        <v/>
      </c>
      <c r="C15" s="13">
        <f>IF($A15="","",IFERROR(INDEX(tblNageurs[nom],14),""))</f>
        <v/>
      </c>
      <c r="D15" s="13">
        <f>IF($A15="","",IFERROR(INDEX(tblNageurs[niveau],14),""))</f>
        <v/>
      </c>
      <c r="E15" s="13">
        <f>IF($A15="","",IFERROR(INDEX(tblNageurs[bassin],14),""))</f>
        <v/>
      </c>
      <c r="F15" s="13">
        <f>IF($A15="","",IFERROR(INDEX(tblNageurs[seances_sem],14),""))</f>
        <v/>
      </c>
      <c r="G15" s="13">
        <f>IF($A15="","",IFERROR(XLOOKUP($A15,tblObjectifs[cle_dashboard],tblObjectifs[discipline],""),""))</f>
        <v/>
      </c>
      <c r="H15" s="13">
        <f>IF($A15="","",IFERROR(XLOOKUP($A15,tblObjectifs[cle_dashboard],tblObjectifs[distance_m],""),""))</f>
        <v/>
      </c>
      <c r="I15" s="13">
        <f>IF($A15="","",IFERROR(XLOOKUP($A15,tblObjectifs[cle_dashboard],tblObjectifs[nage],""),""))</f>
        <v/>
      </c>
      <c r="J15" s="19">
        <f>IF($A15="","",IFERROR(XLOOKUP($A15,tblObjectifs[cle_dashboard],tblObjectifs[temps_cible_sec],""),""))</f>
        <v/>
      </c>
      <c r="K15" s="14">
        <f>IF($A15="","",IFERROR(XLOOKUP($A15,tblObjectifs[cle_dashboard],tblObjectifs[date_objectif],""),""))</f>
        <v/>
      </c>
      <c r="L15" s="13">
        <f>IF($A15="","",IFERROR(XLOOKUP($A15,tblObjectifs[cle_dashboard],tblObjectifs[lieu],""),""))</f>
        <v/>
      </c>
      <c r="M15" s="16">
        <f>IF($A15="","",IFERROR(INDEX(DASHBOARD!V:V,MATCH($A15,DASHBOARD!A:A,0)),""))</f>
        <v/>
      </c>
      <c r="N15" s="13">
        <f>IF($A15="","",IFERROR(INDEX(tblNageurs[blessure],14),""))</f>
        <v/>
      </c>
      <c r="O15" s="13">
        <f>IF($A15="","",IFERROR(INDEX(tblNageurs[note_contrainte],14),""))</f>
        <v/>
      </c>
    </row>
    <row r="16" ht="20" customHeight="1">
      <c r="A16" s="13">
        <f>IFERROR(IF(INDEX(tblNageurs[id],15)="","",INDEX(tblNageurs[id],15)),"")</f>
        <v/>
      </c>
      <c r="B16" s="13">
        <f>IF($A16="","",IFERROR(INDEX(tblNageurs[prenom],15),""))</f>
        <v/>
      </c>
      <c r="C16" s="13">
        <f>IF($A16="","",IFERROR(INDEX(tblNageurs[nom],15),""))</f>
        <v/>
      </c>
      <c r="D16" s="13">
        <f>IF($A16="","",IFERROR(INDEX(tblNageurs[niveau],15),""))</f>
        <v/>
      </c>
      <c r="E16" s="13">
        <f>IF($A16="","",IFERROR(INDEX(tblNageurs[bassin],15),""))</f>
        <v/>
      </c>
      <c r="F16" s="13">
        <f>IF($A16="","",IFERROR(INDEX(tblNageurs[seances_sem],15),""))</f>
        <v/>
      </c>
      <c r="G16" s="13">
        <f>IF($A16="","",IFERROR(XLOOKUP($A16,tblObjectifs[cle_dashboard],tblObjectifs[discipline],""),""))</f>
        <v/>
      </c>
      <c r="H16" s="13">
        <f>IF($A16="","",IFERROR(XLOOKUP($A16,tblObjectifs[cle_dashboard],tblObjectifs[distance_m],""),""))</f>
        <v/>
      </c>
      <c r="I16" s="13">
        <f>IF($A16="","",IFERROR(XLOOKUP($A16,tblObjectifs[cle_dashboard],tblObjectifs[nage],""),""))</f>
        <v/>
      </c>
      <c r="J16" s="19">
        <f>IF($A16="","",IFERROR(XLOOKUP($A16,tblObjectifs[cle_dashboard],tblObjectifs[temps_cible_sec],""),""))</f>
        <v/>
      </c>
      <c r="K16" s="14">
        <f>IF($A16="","",IFERROR(XLOOKUP($A16,tblObjectifs[cle_dashboard],tblObjectifs[date_objectif],""),""))</f>
        <v/>
      </c>
      <c r="L16" s="13">
        <f>IF($A16="","",IFERROR(XLOOKUP($A16,tblObjectifs[cle_dashboard],tblObjectifs[lieu],""),""))</f>
        <v/>
      </c>
      <c r="M16" s="16">
        <f>IF($A16="","",IFERROR(INDEX(DASHBOARD!V:V,MATCH($A16,DASHBOARD!A:A,0)),""))</f>
        <v/>
      </c>
      <c r="N16" s="13">
        <f>IF($A16="","",IFERROR(INDEX(tblNageurs[blessure],15),""))</f>
        <v/>
      </c>
      <c r="O16" s="13">
        <f>IF($A16="","",IFERROR(INDEX(tblNageurs[note_contrainte],15),""))</f>
        <v/>
      </c>
    </row>
    <row r="17" ht="20" customHeight="1">
      <c r="A17" s="13">
        <f>IFERROR(IF(INDEX(tblNageurs[id],16)="","",INDEX(tblNageurs[id],16)),"")</f>
        <v/>
      </c>
      <c r="B17" s="13">
        <f>IF($A17="","",IFERROR(INDEX(tblNageurs[prenom],16),""))</f>
        <v/>
      </c>
      <c r="C17" s="13">
        <f>IF($A17="","",IFERROR(INDEX(tblNageurs[nom],16),""))</f>
        <v/>
      </c>
      <c r="D17" s="13">
        <f>IF($A17="","",IFERROR(INDEX(tblNageurs[niveau],16),""))</f>
        <v/>
      </c>
      <c r="E17" s="13">
        <f>IF($A17="","",IFERROR(INDEX(tblNageurs[bassin],16),""))</f>
        <v/>
      </c>
      <c r="F17" s="13">
        <f>IF($A17="","",IFERROR(INDEX(tblNageurs[seances_sem],16),""))</f>
        <v/>
      </c>
      <c r="G17" s="13">
        <f>IF($A17="","",IFERROR(XLOOKUP($A17,tblObjectifs[cle_dashboard],tblObjectifs[discipline],""),""))</f>
        <v/>
      </c>
      <c r="H17" s="13">
        <f>IF($A17="","",IFERROR(XLOOKUP($A17,tblObjectifs[cle_dashboard],tblObjectifs[distance_m],""),""))</f>
        <v/>
      </c>
      <c r="I17" s="13">
        <f>IF($A17="","",IFERROR(XLOOKUP($A17,tblObjectifs[cle_dashboard],tblObjectifs[nage],""),""))</f>
        <v/>
      </c>
      <c r="J17" s="19">
        <f>IF($A17="","",IFERROR(XLOOKUP($A17,tblObjectifs[cle_dashboard],tblObjectifs[temps_cible_sec],""),""))</f>
        <v/>
      </c>
      <c r="K17" s="14">
        <f>IF($A17="","",IFERROR(XLOOKUP($A17,tblObjectifs[cle_dashboard],tblObjectifs[date_objectif],""),""))</f>
        <v/>
      </c>
      <c r="L17" s="13">
        <f>IF($A17="","",IFERROR(XLOOKUP($A17,tblObjectifs[cle_dashboard],tblObjectifs[lieu],""),""))</f>
        <v/>
      </c>
      <c r="M17" s="16">
        <f>IF($A17="","",IFERROR(INDEX(DASHBOARD!V:V,MATCH($A17,DASHBOARD!A:A,0)),""))</f>
        <v/>
      </c>
      <c r="N17" s="13">
        <f>IF($A17="","",IFERROR(INDEX(tblNageurs[blessure],16),""))</f>
        <v/>
      </c>
      <c r="O17" s="13">
        <f>IF($A17="","",IFERROR(INDEX(tblNageurs[note_contrainte],16),""))</f>
        <v/>
      </c>
    </row>
    <row r="18" ht="20" customHeight="1">
      <c r="A18" s="13">
        <f>IFERROR(IF(INDEX(tblNageurs[id],17)="","",INDEX(tblNageurs[id],17)),"")</f>
        <v/>
      </c>
      <c r="B18" s="13">
        <f>IF($A18="","",IFERROR(INDEX(tblNageurs[prenom],17),""))</f>
        <v/>
      </c>
      <c r="C18" s="13">
        <f>IF($A18="","",IFERROR(INDEX(tblNageurs[nom],17),""))</f>
        <v/>
      </c>
      <c r="D18" s="13">
        <f>IF($A18="","",IFERROR(INDEX(tblNageurs[niveau],17),""))</f>
        <v/>
      </c>
      <c r="E18" s="13">
        <f>IF($A18="","",IFERROR(INDEX(tblNageurs[bassin],17),""))</f>
        <v/>
      </c>
      <c r="F18" s="13">
        <f>IF($A18="","",IFERROR(INDEX(tblNageurs[seances_sem],17),""))</f>
        <v/>
      </c>
      <c r="G18" s="13">
        <f>IF($A18="","",IFERROR(XLOOKUP($A18,tblObjectifs[cle_dashboard],tblObjectifs[discipline],""),""))</f>
        <v/>
      </c>
      <c r="H18" s="13">
        <f>IF($A18="","",IFERROR(XLOOKUP($A18,tblObjectifs[cle_dashboard],tblObjectifs[distance_m],""),""))</f>
        <v/>
      </c>
      <c r="I18" s="13">
        <f>IF($A18="","",IFERROR(XLOOKUP($A18,tblObjectifs[cle_dashboard],tblObjectifs[nage],""),""))</f>
        <v/>
      </c>
      <c r="J18" s="19">
        <f>IF($A18="","",IFERROR(XLOOKUP($A18,tblObjectifs[cle_dashboard],tblObjectifs[temps_cible_sec],""),""))</f>
        <v/>
      </c>
      <c r="K18" s="14">
        <f>IF($A18="","",IFERROR(XLOOKUP($A18,tblObjectifs[cle_dashboard],tblObjectifs[date_objectif],""),""))</f>
        <v/>
      </c>
      <c r="L18" s="13">
        <f>IF($A18="","",IFERROR(XLOOKUP($A18,tblObjectifs[cle_dashboard],tblObjectifs[lieu],""),""))</f>
        <v/>
      </c>
      <c r="M18" s="16">
        <f>IF($A18="","",IFERROR(INDEX(DASHBOARD!V:V,MATCH($A18,DASHBOARD!A:A,0)),""))</f>
        <v/>
      </c>
      <c r="N18" s="13">
        <f>IF($A18="","",IFERROR(INDEX(tblNageurs[blessure],17),""))</f>
        <v/>
      </c>
      <c r="O18" s="13">
        <f>IF($A18="","",IFERROR(INDEX(tblNageurs[note_contrainte],17),""))</f>
        <v/>
      </c>
    </row>
    <row r="19" ht="20" customHeight="1">
      <c r="A19" s="13">
        <f>IFERROR(IF(INDEX(tblNageurs[id],18)="","",INDEX(tblNageurs[id],18)),"")</f>
        <v/>
      </c>
      <c r="B19" s="13">
        <f>IF($A19="","",IFERROR(INDEX(tblNageurs[prenom],18),""))</f>
        <v/>
      </c>
      <c r="C19" s="13">
        <f>IF($A19="","",IFERROR(INDEX(tblNageurs[nom],18),""))</f>
        <v/>
      </c>
      <c r="D19" s="13">
        <f>IF($A19="","",IFERROR(INDEX(tblNageurs[niveau],18),""))</f>
        <v/>
      </c>
      <c r="E19" s="13">
        <f>IF($A19="","",IFERROR(INDEX(tblNageurs[bassin],18),""))</f>
        <v/>
      </c>
      <c r="F19" s="13">
        <f>IF($A19="","",IFERROR(INDEX(tblNageurs[seances_sem],18),""))</f>
        <v/>
      </c>
      <c r="G19" s="13">
        <f>IF($A19="","",IFERROR(XLOOKUP($A19,tblObjectifs[cle_dashboard],tblObjectifs[discipline],""),""))</f>
        <v/>
      </c>
      <c r="H19" s="13">
        <f>IF($A19="","",IFERROR(XLOOKUP($A19,tblObjectifs[cle_dashboard],tblObjectifs[distance_m],""),""))</f>
        <v/>
      </c>
      <c r="I19" s="13">
        <f>IF($A19="","",IFERROR(XLOOKUP($A19,tblObjectifs[cle_dashboard],tblObjectifs[nage],""),""))</f>
        <v/>
      </c>
      <c r="J19" s="19">
        <f>IF($A19="","",IFERROR(XLOOKUP($A19,tblObjectifs[cle_dashboard],tblObjectifs[temps_cible_sec],""),""))</f>
        <v/>
      </c>
      <c r="K19" s="14">
        <f>IF($A19="","",IFERROR(XLOOKUP($A19,tblObjectifs[cle_dashboard],tblObjectifs[date_objectif],""),""))</f>
        <v/>
      </c>
      <c r="L19" s="13">
        <f>IF($A19="","",IFERROR(XLOOKUP($A19,tblObjectifs[cle_dashboard],tblObjectifs[lieu],""),""))</f>
        <v/>
      </c>
      <c r="M19" s="16">
        <f>IF($A19="","",IFERROR(INDEX(DASHBOARD!V:V,MATCH($A19,DASHBOARD!A:A,0)),""))</f>
        <v/>
      </c>
      <c r="N19" s="13">
        <f>IF($A19="","",IFERROR(INDEX(tblNageurs[blessure],18),""))</f>
        <v/>
      </c>
      <c r="O19" s="13">
        <f>IF($A19="","",IFERROR(INDEX(tblNageurs[note_contrainte],18),""))</f>
        <v/>
      </c>
    </row>
    <row r="20" ht="20" customHeight="1">
      <c r="A20" s="13">
        <f>IFERROR(IF(INDEX(tblNageurs[id],19)="","",INDEX(tblNageurs[id],19)),"")</f>
        <v/>
      </c>
      <c r="B20" s="13">
        <f>IF($A20="","",IFERROR(INDEX(tblNageurs[prenom],19),""))</f>
        <v/>
      </c>
      <c r="C20" s="13">
        <f>IF($A20="","",IFERROR(INDEX(tblNageurs[nom],19),""))</f>
        <v/>
      </c>
      <c r="D20" s="13">
        <f>IF($A20="","",IFERROR(INDEX(tblNageurs[niveau],19),""))</f>
        <v/>
      </c>
      <c r="E20" s="13">
        <f>IF($A20="","",IFERROR(INDEX(tblNageurs[bassin],19),""))</f>
        <v/>
      </c>
      <c r="F20" s="13">
        <f>IF($A20="","",IFERROR(INDEX(tblNageurs[seances_sem],19),""))</f>
        <v/>
      </c>
      <c r="G20" s="13">
        <f>IF($A20="","",IFERROR(XLOOKUP($A20,tblObjectifs[cle_dashboard],tblObjectifs[discipline],""),""))</f>
        <v/>
      </c>
      <c r="H20" s="13">
        <f>IF($A20="","",IFERROR(XLOOKUP($A20,tblObjectifs[cle_dashboard],tblObjectifs[distance_m],""),""))</f>
        <v/>
      </c>
      <c r="I20" s="13">
        <f>IF($A20="","",IFERROR(XLOOKUP($A20,tblObjectifs[cle_dashboard],tblObjectifs[nage],""),""))</f>
        <v/>
      </c>
      <c r="J20" s="19">
        <f>IF($A20="","",IFERROR(XLOOKUP($A20,tblObjectifs[cle_dashboard],tblObjectifs[temps_cible_sec],""),""))</f>
        <v/>
      </c>
      <c r="K20" s="14">
        <f>IF($A20="","",IFERROR(XLOOKUP($A20,tblObjectifs[cle_dashboard],tblObjectifs[date_objectif],""),""))</f>
        <v/>
      </c>
      <c r="L20" s="13">
        <f>IF($A20="","",IFERROR(XLOOKUP($A20,tblObjectifs[cle_dashboard],tblObjectifs[lieu],""),""))</f>
        <v/>
      </c>
      <c r="M20" s="16">
        <f>IF($A20="","",IFERROR(INDEX(DASHBOARD!V:V,MATCH($A20,DASHBOARD!A:A,0)),""))</f>
        <v/>
      </c>
      <c r="N20" s="13">
        <f>IF($A20="","",IFERROR(INDEX(tblNageurs[blessure],19),""))</f>
        <v/>
      </c>
      <c r="O20" s="13">
        <f>IF($A20="","",IFERROR(INDEX(tblNageurs[note_contrainte],19),""))</f>
        <v/>
      </c>
    </row>
    <row r="21" ht="20" customHeight="1">
      <c r="A21" s="13">
        <f>IFERROR(IF(INDEX(tblNageurs[id],20)="","",INDEX(tblNageurs[id],20)),"")</f>
        <v/>
      </c>
      <c r="B21" s="13">
        <f>IF($A21="","",IFERROR(INDEX(tblNageurs[prenom],20),""))</f>
        <v/>
      </c>
      <c r="C21" s="13">
        <f>IF($A21="","",IFERROR(INDEX(tblNageurs[nom],20),""))</f>
        <v/>
      </c>
      <c r="D21" s="13">
        <f>IF($A21="","",IFERROR(INDEX(tblNageurs[niveau],20),""))</f>
        <v/>
      </c>
      <c r="E21" s="13">
        <f>IF($A21="","",IFERROR(INDEX(tblNageurs[bassin],20),""))</f>
        <v/>
      </c>
      <c r="F21" s="13">
        <f>IF($A21="","",IFERROR(INDEX(tblNageurs[seances_sem],20),""))</f>
        <v/>
      </c>
      <c r="G21" s="13">
        <f>IF($A21="","",IFERROR(XLOOKUP($A21,tblObjectifs[cle_dashboard],tblObjectifs[discipline],""),""))</f>
        <v/>
      </c>
      <c r="H21" s="13">
        <f>IF($A21="","",IFERROR(XLOOKUP($A21,tblObjectifs[cle_dashboard],tblObjectifs[distance_m],""),""))</f>
        <v/>
      </c>
      <c r="I21" s="13">
        <f>IF($A21="","",IFERROR(XLOOKUP($A21,tblObjectifs[cle_dashboard],tblObjectifs[nage],""),""))</f>
        <v/>
      </c>
      <c r="J21" s="19">
        <f>IF($A21="","",IFERROR(XLOOKUP($A21,tblObjectifs[cle_dashboard],tblObjectifs[temps_cible_sec],""),""))</f>
        <v/>
      </c>
      <c r="K21" s="14">
        <f>IF($A21="","",IFERROR(XLOOKUP($A21,tblObjectifs[cle_dashboard],tblObjectifs[date_objectif],""),""))</f>
        <v/>
      </c>
      <c r="L21" s="13">
        <f>IF($A21="","",IFERROR(XLOOKUP($A21,tblObjectifs[cle_dashboard],tblObjectifs[lieu],""),""))</f>
        <v/>
      </c>
      <c r="M21" s="16">
        <f>IF($A21="","",IFERROR(INDEX(DASHBOARD!V:V,MATCH($A21,DASHBOARD!A:A,0)),""))</f>
        <v/>
      </c>
      <c r="N21" s="13">
        <f>IF($A21="","",IFERROR(INDEX(tblNageurs[blessure],20),""))</f>
        <v/>
      </c>
      <c r="O21" s="13">
        <f>IF($A21="","",IFERROR(INDEX(tblNageurs[note_contrainte],20),""))</f>
        <v/>
      </c>
    </row>
    <row r="22" ht="20" customHeight="1">
      <c r="A22" s="13">
        <f>IFERROR(IF(INDEX(tblNageurs[id],21)="","",INDEX(tblNageurs[id],21)),"")</f>
        <v/>
      </c>
      <c r="B22" s="13">
        <f>IF($A22="","",IFERROR(INDEX(tblNageurs[prenom],21),""))</f>
        <v/>
      </c>
      <c r="C22" s="13">
        <f>IF($A22="","",IFERROR(INDEX(tblNageurs[nom],21),""))</f>
        <v/>
      </c>
      <c r="D22" s="13">
        <f>IF($A22="","",IFERROR(INDEX(tblNageurs[niveau],21),""))</f>
        <v/>
      </c>
      <c r="E22" s="13">
        <f>IF($A22="","",IFERROR(INDEX(tblNageurs[bassin],21),""))</f>
        <v/>
      </c>
      <c r="F22" s="13">
        <f>IF($A22="","",IFERROR(INDEX(tblNageurs[seances_sem],21),""))</f>
        <v/>
      </c>
      <c r="G22" s="13">
        <f>IF($A22="","",IFERROR(XLOOKUP($A22,tblObjectifs[cle_dashboard],tblObjectifs[discipline],""),""))</f>
        <v/>
      </c>
      <c r="H22" s="13">
        <f>IF($A22="","",IFERROR(XLOOKUP($A22,tblObjectifs[cle_dashboard],tblObjectifs[distance_m],""),""))</f>
        <v/>
      </c>
      <c r="I22" s="13">
        <f>IF($A22="","",IFERROR(XLOOKUP($A22,tblObjectifs[cle_dashboard],tblObjectifs[nage],""),""))</f>
        <v/>
      </c>
      <c r="J22" s="19">
        <f>IF($A22="","",IFERROR(XLOOKUP($A22,tblObjectifs[cle_dashboard],tblObjectifs[temps_cible_sec],""),""))</f>
        <v/>
      </c>
      <c r="K22" s="14">
        <f>IF($A22="","",IFERROR(XLOOKUP($A22,tblObjectifs[cle_dashboard],tblObjectifs[date_objectif],""),""))</f>
        <v/>
      </c>
      <c r="L22" s="13">
        <f>IF($A22="","",IFERROR(XLOOKUP($A22,tblObjectifs[cle_dashboard],tblObjectifs[lieu],""),""))</f>
        <v/>
      </c>
      <c r="M22" s="16">
        <f>IF($A22="","",IFERROR(INDEX(DASHBOARD!V:V,MATCH($A22,DASHBOARD!A:A,0)),""))</f>
        <v/>
      </c>
      <c r="N22" s="13">
        <f>IF($A22="","",IFERROR(INDEX(tblNageurs[blessure],21),""))</f>
        <v/>
      </c>
      <c r="O22" s="13">
        <f>IF($A22="","",IFERROR(INDEX(tblNageurs[note_contrainte],21),""))</f>
        <v/>
      </c>
    </row>
    <row r="23" ht="20" customHeight="1">
      <c r="A23" s="13">
        <f>IFERROR(IF(INDEX(tblNageurs[id],22)="","",INDEX(tblNageurs[id],22)),"")</f>
        <v/>
      </c>
      <c r="B23" s="13">
        <f>IF($A23="","",IFERROR(INDEX(tblNageurs[prenom],22),""))</f>
        <v/>
      </c>
      <c r="C23" s="13">
        <f>IF($A23="","",IFERROR(INDEX(tblNageurs[nom],22),""))</f>
        <v/>
      </c>
      <c r="D23" s="13">
        <f>IF($A23="","",IFERROR(INDEX(tblNageurs[niveau],22),""))</f>
        <v/>
      </c>
      <c r="E23" s="13">
        <f>IF($A23="","",IFERROR(INDEX(tblNageurs[bassin],22),""))</f>
        <v/>
      </c>
      <c r="F23" s="13">
        <f>IF($A23="","",IFERROR(INDEX(tblNageurs[seances_sem],22),""))</f>
        <v/>
      </c>
      <c r="G23" s="13">
        <f>IF($A23="","",IFERROR(XLOOKUP($A23,tblObjectifs[cle_dashboard],tblObjectifs[discipline],""),""))</f>
        <v/>
      </c>
      <c r="H23" s="13">
        <f>IF($A23="","",IFERROR(XLOOKUP($A23,tblObjectifs[cle_dashboard],tblObjectifs[distance_m],""),""))</f>
        <v/>
      </c>
      <c r="I23" s="13">
        <f>IF($A23="","",IFERROR(XLOOKUP($A23,tblObjectifs[cle_dashboard],tblObjectifs[nage],""),""))</f>
        <v/>
      </c>
      <c r="J23" s="19">
        <f>IF($A23="","",IFERROR(XLOOKUP($A23,tblObjectifs[cle_dashboard],tblObjectifs[temps_cible_sec],""),""))</f>
        <v/>
      </c>
      <c r="K23" s="14">
        <f>IF($A23="","",IFERROR(XLOOKUP($A23,tblObjectifs[cle_dashboard],tblObjectifs[date_objectif],""),""))</f>
        <v/>
      </c>
      <c r="L23" s="13">
        <f>IF($A23="","",IFERROR(XLOOKUP($A23,tblObjectifs[cle_dashboard],tblObjectifs[lieu],""),""))</f>
        <v/>
      </c>
      <c r="M23" s="16">
        <f>IF($A23="","",IFERROR(INDEX(DASHBOARD!V:V,MATCH($A23,DASHBOARD!A:A,0)),""))</f>
        <v/>
      </c>
      <c r="N23" s="13">
        <f>IF($A23="","",IFERROR(INDEX(tblNageurs[blessure],22),""))</f>
        <v/>
      </c>
      <c r="O23" s="13">
        <f>IF($A23="","",IFERROR(INDEX(tblNageurs[note_contrainte],22),""))</f>
        <v/>
      </c>
    </row>
    <row r="25">
      <c r="A25" s="26" t="inlineStr">
        <is>
          <t>Fichier → Enregistrer sous → CSV UTF-8 si import plus tard. Ne saisis rien ici.</t>
        </is>
      </c>
    </row>
  </sheetData>
  <mergeCells count="1">
    <mergeCell ref="A25:O2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9BB0C8"/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6" t="inlineStr">
        <is>
          <t>Listes — tu peux ajouter des valeurs sous une colonne, puis élargir le nom défini.</t>
        </is>
      </c>
    </row>
    <row r="2">
      <c r="A2" s="39" t="inlineStr">
        <is>
          <t>niveau</t>
        </is>
      </c>
      <c r="B2" s="39" t="inlineStr">
        <is>
          <t>statut_nageur</t>
        </is>
      </c>
      <c r="C2" s="39" t="inlineStr">
        <is>
          <t>sexe</t>
        </is>
      </c>
      <c r="D2" s="39" t="inlineStr">
        <is>
          <t>cadre</t>
        </is>
      </c>
      <c r="E2" s="39" t="inlineStr">
        <is>
          <t>bassin</t>
        </is>
      </c>
      <c r="F2" s="39" t="inlineStr">
        <is>
          <t>oui_non</t>
        </is>
      </c>
      <c r="G2" s="39" t="inlineStr">
        <is>
          <t>discipline</t>
        </is>
      </c>
      <c r="H2" s="39" t="inlineStr">
        <is>
          <t>nage</t>
        </is>
      </c>
      <c r="I2" s="39" t="inlineStr">
        <is>
          <t>priorite</t>
        </is>
      </c>
      <c r="J2" s="39" t="inlineStr">
        <is>
          <t>statut_objectif</t>
        </is>
      </c>
      <c r="K2" s="39" t="inlineStr">
        <is>
          <t>protocole</t>
        </is>
      </c>
      <c r="L2" s="39" t="inlineStr">
        <is>
          <t>depart</t>
        </is>
      </c>
      <c r="M2" s="39" t="inlineStr">
        <is>
          <t>contexte</t>
        </is>
      </c>
      <c r="N2" s="39" t="inlineStr">
        <is>
          <t>forme</t>
        </is>
      </c>
      <c r="O2" s="39" t="inlineStr">
        <is>
          <t>bassin_lieu</t>
        </is>
      </c>
      <c r="P2" s="39" t="inlineStr">
        <is>
          <t>theme_seance</t>
        </is>
      </c>
      <c r="Q2" s="39" t="inlineStr">
        <is>
          <t>faite_seance</t>
        </is>
      </c>
      <c r="R2" s="39" t="inlineStr">
        <is>
          <t>type_semaine</t>
        </is>
      </c>
      <c r="S2" s="39" t="inlineStr">
        <is>
          <t>qualite</t>
        </is>
      </c>
    </row>
    <row r="3">
      <c r="A3" t="inlineStr">
        <is>
          <t>decouverte</t>
        </is>
      </c>
      <c r="B3" t="inlineStr">
        <is>
          <t>actif</t>
        </is>
      </c>
      <c r="C3" t="inlineStr">
        <is>
          <t>F</t>
        </is>
      </c>
      <c r="D3" t="inlineStr">
        <is>
          <t>perso</t>
        </is>
      </c>
      <c r="E3" t="inlineStr">
        <is>
          <t>25</t>
        </is>
      </c>
      <c r="F3" t="inlineStr">
        <is>
          <t>oui</t>
        </is>
      </c>
      <c r="G3" t="inlineStr">
        <is>
          <t>course_piscine</t>
        </is>
      </c>
      <c r="H3" t="inlineStr">
        <is>
          <t>crawl</t>
        </is>
      </c>
      <c r="I3" t="inlineStr">
        <is>
          <t>A</t>
        </is>
      </c>
      <c r="J3" t="inlineStr">
        <is>
          <t>en_cours</t>
        </is>
      </c>
      <c r="K3" t="inlineStr">
        <is>
          <t>T50</t>
        </is>
      </c>
      <c r="L3" t="inlineStr">
        <is>
          <t>plonge</t>
        </is>
      </c>
      <c r="M3" t="inlineStr">
        <is>
          <t>test_dedie</t>
        </is>
      </c>
      <c r="N3" t="inlineStr">
        <is>
          <t>bonne</t>
        </is>
      </c>
      <c r="O3" t="inlineStr">
        <is>
          <t>25</t>
        </is>
      </c>
      <c r="P3" t="inlineStr">
        <is>
          <t>technique</t>
        </is>
      </c>
      <c r="Q3" t="inlineStr">
        <is>
          <t>oui</t>
        </is>
      </c>
      <c r="R3" t="inlineStr">
        <is>
          <t>normale</t>
        </is>
      </c>
      <c r="S3" t="inlineStr">
        <is>
          <t>tenue</t>
        </is>
      </c>
    </row>
    <row r="4">
      <c r="A4" t="inlineStr">
        <is>
          <t>regulier</t>
        </is>
      </c>
      <c r="B4" t="inlineStr">
        <is>
          <t>pause</t>
        </is>
      </c>
      <c r="C4" t="inlineStr">
        <is>
          <t>H</t>
        </is>
      </c>
      <c r="D4" t="inlineStr">
        <is>
          <t>club</t>
        </is>
      </c>
      <c r="E4" t="inlineStr">
        <is>
          <t>50</t>
        </is>
      </c>
      <c r="F4" t="inlineStr">
        <is>
          <t>non</t>
        </is>
      </c>
      <c r="G4" t="inlineStr">
        <is>
          <t>eau_libre</t>
        </is>
      </c>
      <c r="H4" t="inlineStr">
        <is>
          <t>dos</t>
        </is>
      </c>
      <c r="I4" t="inlineStr">
        <is>
          <t>B</t>
        </is>
      </c>
      <c r="J4" t="inlineStr">
        <is>
          <t>atteint</t>
        </is>
      </c>
      <c r="K4" t="inlineStr">
        <is>
          <t>T100</t>
        </is>
      </c>
      <c r="L4" t="inlineStr">
        <is>
          <t>poussee</t>
        </is>
      </c>
      <c r="M4" t="inlineStr">
        <is>
          <t>fin_seance</t>
        </is>
      </c>
      <c r="N4" t="inlineStr">
        <is>
          <t>moyenne</t>
        </is>
      </c>
      <c r="O4" t="inlineStr">
        <is>
          <t>50</t>
        </is>
      </c>
      <c r="P4" t="inlineStr">
        <is>
          <t>endurance</t>
        </is>
      </c>
      <c r="Q4" t="inlineStr">
        <is>
          <t>non</t>
        </is>
      </c>
      <c r="R4" t="inlineStr">
        <is>
          <t>allegee</t>
        </is>
      </c>
      <c r="S4" t="inlineStr">
        <is>
          <t>limite</t>
        </is>
      </c>
    </row>
    <row r="5">
      <c r="A5" t="inlineStr">
        <is>
          <t>sportif</t>
        </is>
      </c>
      <c r="B5" t="inlineStr">
        <is>
          <t>competition</t>
        </is>
      </c>
      <c r="G5" t="inlineStr">
        <is>
          <t>triathlon</t>
        </is>
      </c>
      <c r="H5" t="inlineStr">
        <is>
          <t>brasse</t>
        </is>
      </c>
      <c r="J5" t="inlineStr">
        <is>
          <t>rate</t>
        </is>
      </c>
      <c r="K5" t="inlineStr">
        <is>
          <t>T200</t>
        </is>
      </c>
      <c r="L5" t="inlineStr">
        <is>
          <t>eau</t>
        </is>
      </c>
      <c r="M5" t="inlineStr">
        <is>
          <t>competition</t>
        </is>
      </c>
      <c r="N5" t="inlineStr">
        <is>
          <t>fatigue</t>
        </is>
      </c>
      <c r="O5" t="inlineStr">
        <is>
          <t>OW</t>
        </is>
      </c>
      <c r="P5" t="inlineStr">
        <is>
          <t>seuil</t>
        </is>
      </c>
      <c r="Q5" t="inlineStr">
        <is>
          <t>annulee</t>
        </is>
      </c>
      <c r="R5" t="inlineStr">
        <is>
          <t>test</t>
        </is>
      </c>
      <c r="S5" t="inlineStr">
        <is>
          <t>casse</t>
        </is>
      </c>
    </row>
    <row r="6">
      <c r="A6" t="inlineStr">
        <is>
          <t>performance</t>
        </is>
      </c>
      <c r="B6" t="inlineStr">
        <is>
          <t>archive</t>
        </is>
      </c>
      <c r="G6" t="inlineStr">
        <is>
          <t>diplome</t>
        </is>
      </c>
      <c r="H6" t="inlineStr">
        <is>
          <t>papillon</t>
        </is>
      </c>
      <c r="J6" t="inlineStr">
        <is>
          <t>reporte</t>
        </is>
      </c>
      <c r="K6" t="inlineStr">
        <is>
          <t>T400</t>
        </is>
      </c>
      <c r="N6" t="inlineStr">
        <is>
          <t>malade</t>
        </is>
      </c>
      <c r="P6" t="inlineStr">
        <is>
          <t>vitesse</t>
        </is>
      </c>
      <c r="R6" t="inlineStr">
        <is>
          <t>reference</t>
        </is>
      </c>
    </row>
    <row r="7">
      <c r="G7" t="inlineStr">
        <is>
          <t>nager_progresser</t>
        </is>
      </c>
      <c r="H7" t="inlineStr">
        <is>
          <t>4N</t>
        </is>
      </c>
      <c r="K7" t="inlineStr">
        <is>
          <t>CSS</t>
        </is>
      </c>
      <c r="P7" t="inlineStr">
        <is>
          <t>eau_libre</t>
        </is>
      </c>
    </row>
    <row r="8">
      <c r="G8" t="inlineStr">
        <is>
          <t>reprendre</t>
        </is>
      </c>
      <c r="K8" t="inlineStr">
        <is>
          <t>course</t>
        </is>
      </c>
      <c r="P8" t="inlineStr">
        <is>
          <t>specifique</t>
        </is>
      </c>
    </row>
    <row r="9">
      <c r="P9" t="inlineStr">
        <is>
          <t>recuperation</t>
        </is>
      </c>
    </row>
    <row r="10">
      <c r="P10" t="inlineStr">
        <is>
          <t>test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MySWYM</dc:creator>
  <dc:title>Suivi nageurs — coach de ligne</dc:title>
  <dc:description>Tests, séances 1–5/sem, charge, deload, retest, export app.</dc:description>
  <dcterms:created xsi:type="dcterms:W3CDTF">2026-08-23T18:06:17Z</dcterms:created>
  <dcterms:modified xsi:type="dcterms:W3CDTF">2026-08-23T18:06:17Z</dcterms:modified>
</cp:coreProperties>
</file>